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f6e15ed69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Mode_Emploi" sheetId="1" r:id="R42d15fdff5744b2e"/>
    <x:sheet xmlns:r="http://schemas.openxmlformats.org/officeDocument/2006/relationships" name="01_Catalogue_Flux" sheetId="2" r:id="Rb4e7f1a1e725486b"/>
    <x:sheet xmlns:r="http://schemas.openxmlformats.org/officeDocument/2006/relationships" name="Reporting" sheetId="3" r:id="R67c9f0068fa949e4"/>
    <x:sheet xmlns:r="http://schemas.openxmlformats.org/officeDocument/2006/relationships" name="98_Mapping_Technique" sheetId="4" r:id="R182bbc15d65945f2"/>
    <x:sheet xmlns:r="http://schemas.openxmlformats.org/officeDocument/2006/relationships" name="03_Rapprochement" sheetId="5" r:id="R8e5e0e5b7f9d459f"/>
    <x:sheet xmlns:r="http://schemas.openxmlformats.org/officeDocument/2006/relationships" name="04_Historique_Hebdo" sheetId="6" r:id="Rd937a104833c4329"/>
    <x:sheet xmlns:r="http://schemas.openxmlformats.org/officeDocument/2006/relationships" name="05_Qualite_Donnees" sheetId="7" r:id="R529aefb8e4bd4fd0"/>
    <x:sheet xmlns:r="http://schemas.openxmlformats.org/officeDocument/2006/relationships" name="06_Dashboard_Source" sheetId="8" r:id="Rc46847408b7c4fa2"/>
    <x:sheet xmlns:r="http://schemas.openxmlformats.org/officeDocument/2006/relationships" name="07_Vue_Sprint" sheetId="9" r:id="R25836f90cb064930"/>
    <x:sheet xmlns:r="http://schemas.openxmlformats.org/officeDocument/2006/relationships" name="08_Vue_Sous_Domaine" sheetId="10" r:id="Re7b003d7078a4ed7"/>
    <x:sheet xmlns:r="http://schemas.openxmlformats.org/officeDocument/2006/relationships" name="09_Detail_Flux" sheetId="11" r:id="R00cb3a73e2854142"/>
    <x:sheet xmlns:r="http://schemas.openxmlformats.org/officeDocument/2006/relationships" name="99_Listes" sheetId="12" r:id="R8a348806ad234f35"/>
    <x:sheet xmlns:r="http://schemas.openxmlformats.org/officeDocument/2006/relationships" name="Reporting N-1" sheetId="13" r:id="Rda800aefe15045f9"/>
  </x:sheets>
</x:workbook>
</file>

<file path=xl/sharedStrings.xml><?xml version="1.0" encoding="utf-8"?>
<x:sst xmlns:x="http://schemas.openxmlformats.org/spreadsheetml/2006/main">
  <x:si>
    <x:t xml:space="preserve">BASE DE DONNÉES GIL</x:t>
  </x:si>
  <x:si>
    <x:t xml:space="preserve">Classeur source du reporting — alimentation manuelle ou import JIRA</x:t>
  </x:si>
  <x:si>
    <x:t xml:space="preserve">Étape</x:t>
  </x:si>
  <x:si>
    <x:t xml:space="preserve">Action</x:t>
  </x:si>
  <x:si>
    <x:t xml:space="preserve">Où ?</x:t>
  </x:si>
  <x:si>
    <x:t xml:space="preserve">Règle</x:t>
  </x:si>
  <x:si>
    <x:t xml:space="preserve">Automatique</x:t>
  </x:si>
  <x:si>
    <x:t xml:space="preserve">Source</x:t>
  </x:si>
  <x:si>
    <x:t xml:space="preserve">Responsable</x:t>
  </x:si>
  <x:si>
    <x:t xml:space="preserve">Contrôle</x:t>
  </x:si>
  <x:si>
    <x:t xml:space="preserve">Maintenir le catalogue des flux</x:t>
  </x:si>
  <x:si>
    <x:t xml:space="preserve">01_Catalogue_Flux</x:t>
  </x:si>
  <x:si>
    <x:t xml:space="preserve">Une ligne par flux cible</x:t>
  </x:si>
  <x:si>
    <x:t xml:space="preserve">Oui</x:t>
  </x:si>
  <x:si>
    <x:t xml:space="preserve">CATALOGUES DE FLUX.txt</x:t>
  </x:si>
  <x:si>
    <x:t xml:space="preserve">Métier / Architecture</x:t>
  </x:si>
  <x:si>
    <x:t xml:space="preserve">Clé flux unique</x:t>
  </x:si>
  <x:si>
    <x:t xml:space="preserve">Ajouter ou importer le suivi</x:t>
  </x:si>
  <x:si>
    <x:t xml:space="preserve">Reporting</x:t>
  </x:si>
  <x:si>
    <x:t xml:space="preserve">Une ligne par flux, version, environnement et statut</x:t>
  </x:si>
  <x:si>
    <x:t xml:space="preserve">fichier suivi.txt / JIRA</x:t>
  </x:si>
  <x:si>
    <x:t xml:space="preserve">Pilotage GIL</x:t>
  </x:si>
  <x:si>
    <x:t xml:space="preserve">Seule feuille à modifier</x:t>
  </x:si>
  <x:si>
    <x:t xml:space="preserve">Contrôler les correspondances</x:t>
  </x:si>
  <x:si>
    <x:t xml:space="preserve">03_Rapprochement</x:t>
  </x:si>
  <x:si>
    <x:t xml:space="preserve">Corriger les lignes non rapprochées</x:t>
  </x:si>
  <x:si>
    <x:t xml:space="preserve">Formules</x:t>
  </x:si>
  <x:si>
    <x:t xml:space="preserve">Indicateur Trouvé / Non trouvé</x:t>
  </x:si>
  <x:si>
    <x:t xml:space="preserve">Consulter les tendances</x:t>
  </x:si>
  <x:si>
    <x:t xml:space="preserve">04_Historique_Hebdo</x:t>
  </x:si>
  <x:si>
    <x:t xml:space="preserve">W28 réel ; autres semaines explicitement simulées</x:t>
  </x:si>
  <x:si>
    <x:t xml:space="preserve">Suivi</x:t>
  </x:si>
  <x:si>
    <x:t xml:space="preserve">Ne pas confondre simulation et réel</x:t>
  </x:si>
  <x:si>
    <x:t xml:space="preserve">Valider la qualité</x:t>
  </x:si>
  <x:si>
    <x:t xml:space="preserve">05_Qualite_Donnees</x:t>
  </x:si>
  <x:si>
    <x:t xml:space="preserve">Tous les contrôles doivent être verts</x:t>
  </x:si>
  <x:si>
    <x:t xml:space="preserve">0 erreur bloquante</x:t>
  </x:si>
  <x:si>
    <x:t xml:space="preserve">Générer le rapport HTML</x:t>
  </x:si>
  <x:si>
    <x:t xml:space="preserve">06_Dashboard_Source</x:t>
  </x:si>
  <x:si>
    <x:t xml:space="preserve">Le script lit ce classeur et régénère tous les graphiques</x:t>
  </x:si>
  <x:si>
    <x:t xml:space="preserve">Tables calculées</x:t>
  </x:si>
  <x:si>
    <x:t xml:space="preserve">Automatisation</x:t>
  </x:si>
  <x:si>
    <x:t xml:space="preserve">Actualiser après sauvegarde</x:t>
  </x:si>
  <x:si>
    <x:t xml:space="preserve">CATALOGUE CENTRAL DES FLUX GIL</x:t>
  </x:si>
  <x:si>
    <x:t xml:space="preserve">36 flux extraits et normalisés — codes sources conservés</x:t>
  </x:si>
  <x:si>
    <x:t xml:space="preserve">ID_Flux</x:t>
  </x:si>
  <x:si>
    <x:t xml:space="preserve">Domaine</x:t>
  </x:si>
  <x:si>
    <x:t xml:space="preserve">Code_Domaine</x:t>
  </x:si>
  <x:si>
    <x:t xml:space="preserve">Sous_Domaine</x:t>
  </x:si>
  <x:si>
    <x:t xml:space="preserve">UC</x:t>
  </x:si>
  <x:si>
    <x:t xml:space="preserve">Périmètre_Fonctionnel</x:t>
  </x:si>
  <x:si>
    <x:t xml:space="preserve">Direction_Brute</x:t>
  </x:si>
  <x:si>
    <x:t xml:space="preserve">Sens_Normalisé</x:t>
  </x:si>
  <x:si>
    <x:t xml:space="preserve">Pattern_Estreem</x:t>
  </x:si>
  <x:si>
    <x:t xml:space="preserve">Pattern_GIL_BCEF</x:t>
  </x:si>
  <x:si>
    <x:t xml:space="preserve">Support</x:t>
  </x:si>
  <x:si>
    <x:t xml:space="preserve">Use_Case_Fonctionnel</x:t>
  </x:si>
  <x:si>
    <x:t xml:space="preserve">Données_Complémentaires</x:t>
  </x:si>
  <x:si>
    <x:t xml:space="preserve">Ligne_Source</x:t>
  </x:si>
  <x:si>
    <x:t xml:space="preserve">Actif</x:t>
  </x:si>
  <x:si>
    <x:t xml:space="preserve">ACQ-OA4</x:t>
  </x:si>
  <x:si>
    <x:t xml:space="preserve">Acquisition</x:t>
  </x:si>
  <x:si>
    <x:t xml:space="preserve">ACQ</x:t>
  </x:si>
  <x:si>
    <x:t xml:space="preserve">Authorize</x:t>
  </x:si>
  <x:si>
    <x:t xml:space="preserve">UA01</x:t>
  </x:si>
  <x:si>
    <x:t xml:space="preserve">ACQ-AUTO</x:t>
  </x:si>
  <x:si>
    <x:t xml:space="preserve">OUT</x:t>
  </x:si>
  <x:si>
    <x:t xml:space="preserve">ESTREEM → GIL / BCEF</x:t>
  </x:si>
  <x:si>
    <x:t xml:space="preserve">Call API</x:t>
  </x:si>
  <x:si>
    <x:t xml:space="preserve">Open</x:t>
  </x:si>
  <x:si>
    <x:t xml:space="preserve">UA01 — ACQ-AUTO</x:t>
  </x:si>
  <x:si>
    <x:t xml:space="preserve">Oui | Oui | Non | "BNPP :</x:t>
  </x:si>
  <x:si>
    <x:t xml:space="preserve">ACQ-OA5-2</x:t>
  </x:si>
  <x:si>
    <x:t xml:space="preserve">Consume Event Full</x:t>
  </x:si>
  <x:si>
    <x:t xml:space="preserve">API</x:t>
  </x:si>
  <x:si>
    <x:t xml:space="preserve">ACQ-OA5-3</x:t>
  </x:si>
  <x:si>
    <x:t xml:space="preserve">Push File</x:t>
  </x:si>
  <x:si>
    <x:t xml:space="preserve">ACQ-OA8</x:t>
  </x:si>
  <x:si>
    <x:t xml:space="preserve">IN</x:t>
  </x:si>
  <x:si>
    <x:t xml:space="preserve">BCEF / GIL → ESTREEM</x:t>
  </x:si>
  <x:si>
    <x:t xml:space="preserve">Expose API/File</x:t>
  </x:si>
  <x:si>
    <x:t xml:space="preserve">Oui | Oui | Oui ? | Non | Lot2 | TBD | Oui | Oui | oui | oui | oui | ? | GIL Exchange Layer | GIL BCEF Acquisition | ACQ Authorize | API | oui</x:t>
  </x:si>
  <x:si>
    <x:t xml:space="preserve">ACQ-PC03-1</x:t>
  </x:si>
  <x:si>
    <x:t xml:space="preserve">Crédit commerçant</x:t>
  </x:si>
  <x:si>
    <x:t xml:space="preserve">UA02</x:t>
  </x:si>
  <x:si>
    <x:t xml:space="preserve">PRECOMP</x:t>
  </x:si>
  <x:si>
    <x:t xml:space="preserve">UA02 — PRECOMP</x:t>
  </x:si>
  <x:si>
    <x:t xml:space="preserve">Non | Non | Non | Lot2 | Lot2 | oui | Oui | Oui | oui | oui | ? | GIL Exchange Layer | GIL BCEF Acquisition | ACQ Capture, TLP &amp; Compensation | oui | Event | oui | oui</x:t>
  </x:si>
  <x:si>
    <x:t xml:space="preserve">ACQ-PC03-2</x:t>
  </x:si>
  <x:si>
    <x:t xml:space="preserve">ACQ-PC11</x:t>
  </x:si>
  <x:si>
    <x:t xml:space="preserve">ACQ-MM4-1</x:t>
  </x:si>
  <x:si>
    <x:t xml:space="preserve">Onboarding</x:t>
  </x:si>
  <x:si>
    <x:t xml:space="preserve">UA03</x:t>
  </x:si>
  <x:si>
    <x:t xml:space="preserve">REF-ACQ</x:t>
  </x:si>
  <x:si>
    <x:t xml:space="preserve">Expose API</x:t>
  </x:si>
  <x:si>
    <x:t xml:space="preserve">UA03 — REF-ACQ</x:t>
  </x:si>
  <x:si>
    <x:t xml:space="preserve">Non | Non | Non | Lot2 | Lot1 | Oui | Oui | oui | oui | GIL Exchange Layer | GIL BCEF Acquisition | ACQ OnBoarding | API | oui | oui | oui</x:t>
  </x:si>
  <x:si>
    <x:t xml:space="preserve">ACQ-MM4-2</x:t>
  </x:si>
  <x:si>
    <x:t xml:space="preserve">Non | Lot2 | Lot1 | Oui | Oui | oui | oui | GIL Exchange Layer | GIL BCEF Acquisition | ACQ OnBoarding | API | oui | oui | oui</x:t>
  </x:si>
  <x:si>
    <x:t xml:space="preserve">ACQ-MM4-3</x:t>
  </x:si>
  <x:si>
    <x:t xml:space="preserve">Non | Lot2 | Lot1 | Oui | Oui</x:t>
  </x:si>
  <x:si>
    <x:t xml:space="preserve">ACQ-MM4-4</x:t>
  </x:si>
  <x:si>
    <x:t xml:space="preserve">ACQ-MM4-5</x:t>
  </x:si>
  <x:si>
    <x:t xml:space="preserve">ACQ-MM6</x:t>
  </x:si>
  <x:si>
    <x:t xml:space="preserve">Non | Non | Non | Lot2 | Lot1 | Oui | Oui | GIL Exchange Layer | GIL BCEF Acquisition | ACQ OnBoarding | API | oui | oui | oui | oui</x:t>
  </x:si>
  <x:si>
    <x:t xml:space="preserve">ACQ-MM5-1</x:t>
  </x:si>
  <x:si>
    <x:t xml:space="preserve">Non | Non | Non | Lot2 | Lot1 | Oui | Oui | oui | oui | ? | GIL Exchange Layer | GIL BCEF Acquisition | ACQ OnBoarding | oui | Event | oui | oui | oui | oui</x:t>
  </x:si>
  <x:si>
    <x:t xml:space="preserve">ACQ-MM5-2</x:t>
  </x:si>
  <x:si>
    <x:t xml:space="preserve">Non | Lot2 | Lot1 | Oui | Oui | oui</x:t>
  </x:si>
  <x:si>
    <x:t xml:space="preserve">ACQ-MM5-3</x:t>
  </x:si>
  <x:si>
    <x:t xml:space="preserve">ACQ-MM5-4</x:t>
  </x:si>
  <x:si>
    <x:t xml:space="preserve">ACQ-MM5-5</x:t>
  </x:si>
  <x:si>
    <x:t xml:space="preserve">ACQ-MM7</x:t>
  </x:si>
  <x:si>
    <x:t xml:space="preserve">Non | Non | Non | Lot2 | Lot1 | Oui | Oui | Non | oui | ? | GIL Exchange Layer | GIL BCEF Acquisition | ACQ OnBoarding | oui | Event | oui | oui | oui | creation</x:t>
  </x:si>
  <x:si>
    <x:t xml:space="preserve">ACQ-TC02</x:t>
  </x:si>
  <x:si>
    <x:t xml:space="preserve">Capture / Compensation</x:t>
  </x:si>
  <x:si>
    <x:t xml:space="preserve">UA05</x:t>
  </x:si>
  <x:si>
    <x:t xml:space="preserve">CAPTURE</x:t>
  </x:si>
  <x:si>
    <x:t xml:space="preserve">Receive File</x:t>
  </x:si>
  <x:si>
    <x:t xml:space="preserve">UA05 — CAPTURE</x:t>
  </x:si>
  <x:si>
    <x:t xml:space="preserve">Non | Non | Oui | "BNPP :</x:t>
  </x:si>
  <x:si>
    <x:t xml:space="preserve">ACQ-TC04-1</x:t>
  </x:si>
  <x:si>
    <x:t xml:space="preserve">Consume Event Notif</x:t>
  </x:si>
  <x:si>
    <x:t xml:space="preserve">Non | Non | Non | Lot2 | Lot2 | Oui | Oui | oui | oui | ? | GIL Exchange Layer | GIL BCEF Acquisition | ACQ Capture, TLP &amp; Compensation | oui | Event | oui | oui | oui</x:t>
  </x:si>
  <x:si>
    <x:t xml:space="preserve">ACQ-TC04-2</x:t>
  </x:si>
  <x:si>
    <x:t xml:space="preserve">ACQ-TC04-3</x:t>
  </x:si>
  <x:si>
    <x:t xml:space="preserve">Iss-CMS12_001</x:t>
  </x:si>
  <x:si>
    <x:t xml:space="preserve">Issuing</x:t>
  </x:si>
  <x:si>
    <x:t xml:space="preserve">ISS</x:t>
  </x:si>
  <x:si>
    <x:t xml:space="preserve">UE01</x:t>
  </x:si>
  <x:si>
    <x:t xml:space="preserve">CMS</x:t>
  </x:si>
  <x:si>
    <x:t xml:space="preserve">UE01 — CMS</x:t>
  </x:si>
  <x:si>
    <x:t xml:space="preserve">Oui | Oui | Non | API | Lot1 | Lot1 | Oui | Oui | oui | oui | GIL Exchange Layer | GIL BCEF Issuing | ISS OnBoarding | API | oui</x:t>
  </x:si>
  <x:si>
    <x:t xml:space="preserve">Iss-CMS4_001</x:t>
  </x:si>
  <x:si>
    <x:t xml:space="preserve">Oui | Oui | Non | NA | API | Lot1 | Lot1 | Oui | Oui | oui | oui | GIL Exchange Layer | GIL BCEF Issuing | ISS OnBoarding | API | oui</x:t>
  </x:si>
  <x:si>
    <x:t xml:space="preserve">Iss-CMS3_001</x:t>
  </x:si>
  <x:si>
    <x:t xml:space="preserve">UE01/UE02</x:t>
  </x:si>
  <x:si>
    <x:t xml:space="preserve">UE01/UE02 — CMS</x:t>
  </x:si>
  <x:si>
    <x:t xml:space="preserve">Non | Non | Non | API | Lot1 | Lot1 | Oui | Oui | non | oui | oui | GIL Exchange Layer | GIL BCEF Issuing | ISS OnBoarding | API</x:t>
  </x:si>
  <x:si>
    <x:t xml:space="preserve">Iss-CMS3_003</x:t>
  </x:si>
  <x:si>
    <x:t xml:space="preserve">Iss-CMS13_001</x:t>
  </x:si>
  <x:si>
    <x:t xml:space="preserve">UE01/UE02/UE03</x:t>
  </x:si>
  <x:si>
    <x:t xml:space="preserve">UE01/UE02/UE03 — CMS</x:t>
  </x:si>
  <x:si>
    <x:t xml:space="preserve">Iss-CMS14_002</x:t>
  </x:si>
  <x:si>
    <x:t xml:space="preserve">Api Event Full</x:t>
  </x:si>
  <x:si>
    <x:t xml:space="preserve">Lot1 | Lot1 | Oui | Oui | oui | oui | GIL Exchange Layer | GIL BCEF Issuing | ISS OnBoarding | Event | oui | oui | oui</x:t>
  </x:si>
  <x:si>
    <x:t xml:space="preserve">Iss-CMS14_001</x:t>
  </x:si>
  <x:si>
    <x:t xml:space="preserve">UE03</x:t>
  </x:si>
  <x:si>
    <x:t xml:space="preserve">UE03 — CMS</x:t>
  </x:si>
  <x:si>
    <x:t xml:space="preserve">Iss-CMS27_001</x:t>
  </x:si>
  <x:si>
    <x:t xml:space="preserve">Lot1</x:t>
  </x:si>
  <x:si>
    <x:t xml:space="preserve">Lot1 | GIL Exchange Layer | GIL BCEF Issuing | ISS OnBoarding | API | oui</x:t>
  </x:si>
  <x:si>
    <x:t xml:space="preserve">Iss-OA1_001</x:t>
  </x:si>
  <x:si>
    <x:t xml:space="preserve">Authorize / Paiement</x:t>
  </x:si>
  <x:si>
    <x:t xml:space="preserve">UE04</x:t>
  </x:si>
  <x:si>
    <x:t xml:space="preserve">SAE</x:t>
  </x:si>
  <x:si>
    <x:t xml:space="preserve">UE04 — SAE</x:t>
  </x:si>
  <x:si>
    <x:t xml:space="preserve">Oui | Oui | Non | "Pas besoin pour BNPP</x:t>
  </x:si>
  <x:si>
    <x:t xml:space="preserve">Iss-OA16_001</x:t>
  </x:si>
  <x:si>
    <x:t xml:space="preserve">Iss-OA3_001</x:t>
  </x:si>
  <x:si>
    <x:t xml:space="preserve">File</x:t>
  </x:si>
  <x:si>
    <x:t xml:space="preserve">Oui | Oui | Non | "Besoin du BIN / Pan Caviardé à confirmer</x:t>
  </x:si>
  <x:si>
    <x:t xml:space="preserve">Iss-OA3_002</x:t>
  </x:si>
  <x:si>
    <x:t xml:space="preserve">ID_Catalogue</x:t>
  </x:si>
  <x:si>
    <x:t xml:space="preserve">Cle_Technique</x:t>
  </x:si>
  <x:si>
    <x:t xml:space="preserve">ID_Suivi</x:t>
  </x:si>
  <x:si>
    <x:t xml:space="preserve">RAPPROCHEMENT CATALOGUE ↔ SUIVI</x:t>
  </x:si>
  <x:si>
    <x:t xml:space="preserve">La clé technique est gérée dans 98_Mapping_Technique et n'apparaît plus dans cette vue</x:t>
  </x:si>
  <x:si>
    <x:t xml:space="preserve">ID_Flux_Suivi</x:t>
  </x:si>
  <x:si>
    <x:t xml:space="preserve">Domaine_Suivi</x:t>
  </x:si>
  <x:si>
    <x:t xml:space="preserve">Sous_Domaine_Suivi</x:t>
  </x:si>
  <x:si>
    <x:t xml:space="preserve">Présent_Catalogue</x:t>
  </x:si>
  <x:si>
    <x:t xml:space="preserve">Domaine_Catalogue</x:t>
  </x:si>
  <x:si>
    <x:t xml:space="preserve">Sous_Domaine_Catalogue</x:t>
  </x:si>
  <x:si>
    <x:t xml:space="preserve">Cohérence_Domaine</x:t>
  </x:si>
  <x:si>
    <x:t xml:space="preserve">HISTORIQUE HEBDOMADAIRE</x:t>
  </x:si>
  <x:si>
    <x:t xml:space="preserve">W28 = données réelles ; W25 à W27 = simulations identifiées pour tester les courbes</x:t>
  </x:si>
  <x:si>
    <x:t xml:space="preserve">Semaine</x:t>
  </x:si>
  <x:si>
    <x:t xml:space="preserve">Nature_Donnée</x:t>
  </x:si>
  <x:si>
    <x:t xml:space="preserve">Total</x:t>
  </x:si>
  <x:si>
    <x:t xml:space="preserve">Livré</x:t>
  </x:si>
  <x:si>
    <x:t xml:space="preserve">En_cours</x:t>
  </x:si>
  <x:si>
    <x:t xml:space="preserve">À_traiter</x:t>
  </x:si>
  <x:si>
    <x:t xml:space="preserve">Taux_livré</x:t>
  </x:si>
  <x:si>
    <x:t xml:space="preserve">Commentaire</x:t>
  </x:si>
  <x:si>
    <x:t xml:space="preserve">2026-W25</x:t>
  </x:si>
  <x:si>
    <x:t xml:space="preserve">Simulation</x:t>
  </x:si>
  <x:si>
    <x:t xml:space="preserve">Exemple de tendance</x:t>
  </x:si>
  <x:si>
    <x:t xml:space="preserve">2026-W26</x:t>
  </x:si>
  <x:si>
    <x:t xml:space="preserve">2026-W27</x:t>
  </x:si>
  <x:si>
    <x:t xml:space="preserve">2026-W28</x:t>
  </x:si>
  <x:si>
    <x:t xml:space="preserve">Réel</x:t>
  </x:si>
  <x:si>
    <x:t xml:space="preserve">Calculé depuis Reporting</x:t>
  </x:si>
  <x:si>
    <x:t xml:space="preserve">QUALITÉ ET COMPLÉTUDE DES DONNÉES</x:t>
  </x:si>
  <x:si>
    <x:t xml:space="preserve">Contrôles calculés automatiquement avant génération du rapport</x:t>
  </x:si>
  <x:si>
    <x:t xml:space="preserve">Valeur</x:t>
  </x:si>
  <x:si>
    <x:t xml:space="preserve">Seuil</x:t>
  </x:si>
  <x:si>
    <x:t xml:space="preserve">Résultat</x:t>
  </x:si>
  <x:si>
    <x:t xml:space="preserve">Impact</x:t>
  </x:si>
  <x:si>
    <x:t xml:space="preserve">Flux dans le catalogue</x:t>
  </x:si>
  <x:si>
    <x:t xml:space="preserve">&gt; 0</x:t>
  </x:si>
  <x:si>
    <x:t xml:space="preserve">Information</x:t>
  </x:si>
  <x:si>
    <x:t xml:space="preserve">Aucune</x:t>
  </x:si>
  <x:si>
    <x:t xml:space="preserve">Lignes de suivi réel</x:t>
  </x:si>
  <x:si>
    <x:t xml:space="preserve">Flux suivis absents du catalogue</x:t>
  </x:si>
  <x:si>
    <x:t xml:space="preserve">0</x:t>
  </x:si>
  <x:si>
    <x:t xml:space="preserve">Rapprochement</x:t>
  </x:si>
  <x:si>
    <x:t xml:space="preserve">Compléter le catalogue ou le mapping</x:t>
  </x:si>
  <x:si>
    <x:t xml:space="preserve">Domaines manquants</x:t>
  </x:si>
  <x:si>
    <x:t xml:space="preserve">Compléter le domaine</x:t>
  </x:si>
  <x:si>
    <x:t xml:space="preserve">Sous-domaines manquants</x:t>
  </x:si>
  <x:si>
    <x:t xml:space="preserve">Navigation</x:t>
  </x:si>
  <x:si>
    <x:t xml:space="preserve">Compléter le sous-domaine</x:t>
  </x:si>
  <x:si>
    <x:t xml:space="preserve">Sens catalogue manquant</x:t>
  </x:si>
  <x:si>
    <x:t xml:space="preserve">Flux</x:t>
  </x:si>
  <x:si>
    <x:t xml:space="preserve">Compléter le sens</x:t>
  </x:si>
  <x:si>
    <x:t xml:space="preserve">SOURCE CALCULÉE DU DASHBOARD GIL</x:t>
  </x:si>
  <x:si>
    <x:t xml:space="preserve">Toutes les valeurs et tous les graphiques sont reliés à Reporting</x:t>
  </x:si>
  <x:si>
    <x:t xml:space="preserve">En cours</x:t>
  </x:si>
  <x:si>
    <x:t xml:space="preserve">À traiter</x:t>
  </x:si>
  <x:si>
    <x:t xml:space="preserve">Taux livré</x:t>
  </x:si>
  <x:si>
    <x:t xml:space="preserve">Type_Livraison</x:t>
  </x:si>
  <x:si>
    <x:t xml:space="preserve">AVRO</x:t>
  </x:si>
  <x:si>
    <x:t xml:space="preserve">Configuration</x:t>
  </x:si>
  <x:si>
    <x:t xml:space="preserve">PILOTAGE GIL — VUE SPRINT</x:t>
  </x:si>
  <x:si>
    <x:t xml:space="preserve">Retour à la page précédente</x:t>
  </x:si>
  <x:si>
    <x:t xml:space="preserve">Sprint sélectionné</x:t>
  </x:si>
  <x:si>
    <x:t xml:space="preserve">Sprint 21</x:t>
  </x:si>
  <x:si>
    <x:t xml:space="preserve">Niveau</x:t>
  </x:si>
  <x:si>
    <x:t xml:space="preserve">Total suivi</x:t>
  </x:si>
  <x:si>
    <x:t xml:space="preserve">Flux prêts</x:t>
  </x:si>
  <x:si>
    <x:t xml:space="preserve">Anomalies ouvertes</x:t>
  </x:si>
  <x:si>
    <x:t xml:space="preserve">OK</x:t>
  </x:si>
  <x:si>
    <x:t xml:space="preserve">KO</x:t>
  </x:si>
  <x:si>
    <x:t xml:space="preserve">Semaine 1</x:t>
  </x:si>
  <x:si>
    <x:t xml:space="preserve">2026-W31</x:t>
  </x:si>
  <x:si>
    <x:t xml:space="preserve">Semaine 2</x:t>
  </x:si>
  <x:si>
    <x:t xml:space="preserve">2026-W32</x:t>
  </x:si>
  <x:si>
    <x:t xml:space="preserve">Domaine — fin de sprint</x:t>
  </x:si>
  <x:si>
    <x:t xml:space="preserve">Taux prêt</x:t>
  </x:si>
  <x:si>
    <x:t xml:space="preserve">AVANCEMENT PAR DOMAINE ET SOUS-DOMAINE</x:t>
  </x:si>
  <x:si>
    <x:t xml:space="preserve">Sous-domaine</x:t>
  </x:si>
  <x:si>
    <x:t xml:space="preserve">S1 Total</x:t>
  </x:si>
  <x:si>
    <x:t xml:space="preserve">S1 Prêts</x:t>
  </x:si>
  <x:si>
    <x:t xml:space="preserve">S1 Anomalies</x:t>
  </x:si>
  <x:si>
    <x:t xml:space="preserve">S2 Total</x:t>
  </x:si>
  <x:si>
    <x:t xml:space="preserve">S2 Prêts</x:t>
  </x:si>
  <x:si>
    <x:t xml:space="preserve">S2 Anomalies</x:t>
  </x:si>
  <x:si>
    <x:t xml:space="preserve">S2 OK</x:t>
  </x:si>
  <x:si>
    <x:t xml:space="preserve">S2 KO</x:t>
  </x:si>
  <x:si>
    <x:t xml:space="preserve">S2 En cours</x:t>
  </x:si>
  <x:si>
    <x:t xml:space="preserve">Contestation</x:t>
  </x:si>
  <x:si>
    <x:t xml:space="preserve">GED</x:t>
  </x:si>
  <x:si>
    <x:t xml:space="preserve">DÉTAIL DES FLUX ET ANOMALIES</x:t>
  </x:si>
  <x:si>
    <x:t xml:space="preserve">Sprint</x:t>
  </x:si>
  <x:si>
    <x:t xml:space="preserve">Niveau semaine</x:t>
  </x:si>
  <x:si>
    <x:t xml:space="preserve">Nature</x:t>
  </x:si>
  <x:si>
    <x:t xml:space="preserve">Environnement</x:t>
  </x:si>
  <x:si>
    <x:t xml:space="preserve">Type</x:t>
  </x:si>
  <x:si>
    <x:t xml:space="preserve">ID flux</x:t>
  </x:si>
  <x:si>
    <x:t xml:space="preserve">Version</x:t>
  </x:si>
  <x:si>
    <x:t xml:space="preserve">État flux</x:t>
  </x:si>
  <x:si>
    <x:t xml:space="preserve">État anomalie</x:t>
  </x:si>
  <x:si>
    <x:t xml:space="preserve">Statut source</x:t>
  </x:si>
  <x:si>
    <x:t xml:space="preserve">Domaines</x:t>
  </x:si>
  <x:si>
    <x:t xml:space="preserve">Sous-domaines</x:t>
  </x:si>
  <x:si>
    <x:t xml:space="preserve">Environnements</x:t>
  </x:si>
  <x:si>
    <x:t xml:space="preserve">Types</x:t>
  </x:si>
  <x:si>
    <x:t xml:space="preserve">Statuts</x:t>
  </x:si>
  <x:si>
    <x:t xml:space="preserve">SIT</x:t>
  </x:si>
  <x:si>
    <x:t xml:space="preserve">UAT</x:t>
  </x:si>
  <x:si>
    <x:t xml:space="preserve">Connectivité</x:t>
  </x:si>
  <x:si>
    <x:t xml:space="preserve">Exécution</x:t>
  </x:si>
  <x:si>
    <x:t xml:space="preserve">Rejeté</x:t>
  </x:si>
  <x:si>
    <x:t xml:space="preserve">Corrigé</x:t>
  </x:si>
  <x:si>
    <x:t xml:space="preserve">Validé</x:t>
  </x:si>
  <x:si>
    <x:t xml:space="preserve">Reporting N-1 — Sprint 20 (simulation)</x:t>
  </x:si>
  <x:si>
    <x:t xml:space="preserve">Source de comparaison du Biweekly GIL — ne contient que SIT et UAT</x:t>
  </x:si>
  <x:si>
    <x:t xml:space="preserve">Date_Rapport</x:t>
  </x:si>
  <x:si>
    <x:t xml:space="preserve">Statut</x:t>
  </x:si>
  <x:si>
    <x:t xml:space="preserve">Nombre</x:t>
  </x:si>
  <x:si>
    <x:t xml:space="preserve">Référence_Source</x:t>
  </x:si>
  <x:si>
    <x:t xml:space="preserve">Niveau_Semaine</x:t>
  </x:si>
  <x:si>
    <x:t xml:space="preserve">État_Flux</x:t>
  </x:si>
  <x:si>
    <x:t xml:space="preserve">État_Anomalie</x:t>
  </x:si>
  <x:si>
    <x:t xml:space="preserve">MM4-1</x:t>
  </x:si>
  <x:si>
    <x:t xml:space="preserve">v1.5.0</x:t>
  </x:si>
  <x:si>
    <x:t xml:space="preserve">Simulation N-1</x:t>
  </x:si>
  <x:si>
    <x:t xml:space="preserve">fichier suivi.txt</x:t>
  </x:si>
  <x:si>
    <x:t xml:space="preserve">Simulation dérivée de W32</x:t>
  </x:si>
  <x:si>
    <x:t xml:space="preserve">Sprint 20</x:t>
  </x:si>
  <x:si>
    <x:t xml:space="preserve">Sprint N-1</x:t>
  </x:si>
  <x:si>
    <x:t xml:space="preserve">Non prêt</x:t>
  </x:si>
  <x:si>
    <x:t xml:space="preserve">MM5-1</x:t>
  </x:si>
  <x:si>
    <x:t xml:space="preserve">v0.1.1 / v1.5.1 / v1.5.0</x:t>
  </x:si>
  <x:si>
    <x:t xml:space="preserve">Versions livrées consolidées sur une seule ligne</x:t>
  </x:si>
  <x:si>
    <x:t xml:space="preserve">Prêt</x:t>
  </x:si>
  <x:si>
    <x:t xml:space="preserve">MM7</x:t>
  </x:si>
  <x:si>
    <x:t xml:space="preserve">v0.1.1 / v1.5.1 / v1.5</x:t>
  </x:si>
  <x:si>
    <x:t xml:space="preserve">PC06-2</x:t>
  </x:si>
  <x:si>
    <x:t xml:space="preserve">v1.10.0</x:t>
  </x:si>
  <x:si>
    <x:t xml:space="preserve">PC07</x:t>
  </x:si>
  <x:si>
    <x:t xml:space="preserve">CMS4_001</x:t>
  </x:si>
  <x:si>
    <x:t xml:space="preserve">v2.9</x:t>
  </x:si>
  <x:si>
    <x:t xml:space="preserve">CMS14_001</x:t>
  </x:si>
  <x:si>
    <x:t xml:space="preserve">v1.5</x:t>
  </x:si>
  <x:si>
    <x:t xml:space="preserve">CMS14_002</x:t>
  </x:si>
  <x:si>
    <x:t xml:space="preserve">CMS20_001</x:t>
  </x:si>
  <x:si>
    <x:t xml:space="preserve">v1.3.0</x:t>
  </x:si>
  <x:si>
    <x:t xml:space="preserve">CMS37_001</x:t>
  </x:si>
  <x:si>
    <x:t xml:space="preserve">CMS22</x:t>
  </x:si>
  <x:si>
    <x:t xml:space="preserve">v1.2</x:t>
  </x:si>
  <x:si>
    <x:t xml:space="preserve">CMS14_003</x:t>
  </x:si>
  <x:si>
    <x:t xml:space="preserve">OA3_002</x:t>
  </x:si>
  <x:si>
    <x:t xml:space="preserve">CNT-EM6</x:t>
  </x:si>
  <x:si>
    <x:t xml:space="preserve">v1.7</x:t>
  </x:si>
  <x:si>
    <x:t xml:space="preserve">CNT-EM9</x:t>
  </x:si>
  <x:si>
    <x:t xml:space="preserve">CNT-EM15</x:t>
  </x:si>
  <x:si>
    <x:t xml:space="preserve">CNT-EM18</x:t>
  </x:si>
  <x:si>
    <x:t xml:space="preserve">DMS12-1</x:t>
  </x:si>
  <x:si>
    <x:t xml:space="preserve">DMS12-2</x:t>
  </x:si>
  <x:si>
    <x:t xml:space="preserve">MM4-2</x:t>
  </x:si>
  <x:si>
    <x:t xml:space="preserve">MM4-3</x:t>
  </x:si>
  <x:si>
    <x:t xml:space="preserve">MM4-4</x:t>
  </x:si>
  <x:si>
    <x:t xml:space="preserve">MM4-5</x:t>
  </x:si>
  <x:si>
    <x:t xml:space="preserve">MM5-2</x:t>
  </x:si>
  <x:si>
    <x:t xml:space="preserve">MM5-3</x:t>
  </x:si>
  <x:si>
    <x:t xml:space="preserve">MM5-4</x:t>
  </x:si>
  <x:si>
    <x:t xml:space="preserve">MM5-5</x:t>
  </x:si>
  <x:si>
    <x:t xml:space="preserve">OA5-2</x:t>
  </x:si>
  <x:si>
    <x:t xml:space="preserve">v1.14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</x:si>
</x:sst>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200" formatCode="General"/>
  </x:numFmts>
  <x:fonts count="1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0354B"/>
      <x:name val="Carlito"/>
    </x:font>
    <x:font>
      <x:b/>
      <x:sz val="11"/>
      <x:color rgb="FFFFFFFF"/>
      <x:name val="Carlito"/>
    </x:font>
    <x:font>
      <x:i/>
      <x:sz val="11"/>
      <x:color rgb="FF2F75B5"/>
      <x:name val="Carlito"/>
    </x:font>
    <x:font>
      <x:b/>
      <x:sz val="11"/>
      <x:color rgb="FF20354B"/>
      <x:name val="Carlito"/>
    </x:font>
    <x:font>
      <x:b/>
      <x:sz val="14"/>
      <x:color rgb="FFFFFFFF"/>
      <x:name val="Carlito"/>
    </x:font>
    <x:font>
      <x:b/>
      <x:sz val="9"/>
      <x:color rgb="FFFFFFFF"/>
      <x:name val="Aptos Narrow"/>
    </x:font>
    <x:font>
      <x:sz val="9"/>
      <x:name val="Aptos Narrow"/>
    </x:font>
    <x:font>
      <x:i/>
      <x:sz val="9"/>
      <x:color rgb="FF20354B"/>
      <x:name val="Aptos Narrow"/>
    </x:font>
    <x:font>
      <x:b/>
      <x:sz val="11"/>
      <x:color rgb="FFFFFFFF"/>
      <x:name val="Aptos Narrow"/>
    </x:font>
    <x:font>
      <x:b/>
      <x:i/>
      <x:sz val="11"/>
      <x:color rgb="FFFFFFFF"/>
      <x:name val="Aptos Narrow"/>
    </x:font>
    <x:font>
      <x:b/>
      <x:sz val="11"/>
      <x:color rgb="FF000000"/>
      <x:name val="Aptos Narrow"/>
    </x:font>
    <x:font>
      <x:b/>
      <x:sz val="12"/>
      <x:color rgb="FF000000"/>
      <x:name val="Aptos Narrow"/>
    </x:font>
    <x:font>
      <x:b/>
      <x:sz val="9"/>
      <x:color rgb="FF000000"/>
      <x:name val="Aptos Narrow"/>
    </x:font>
    <x:font>
      <x:b/>
      <x:i/>
      <x:sz val="9"/>
      <x:color rgb="FFFFFFFF"/>
      <x:name val="Aptos Narrow"/>
    </x:font>
    <x:font>
      <x:sz val="9"/>
      <x:color rgb="FF17202A"/>
      <x:name val="Aptos Narrow"/>
    </x:font>
    <x:font>
      <x:b/>
      <x:sz val="12"/>
      <x:color rgb="FFFFFFFF"/>
      <x:name val="Aptos Narrow"/>
    </x:font>
    <x:font>
      <x:b/>
      <x:sz val="10"/>
      <x:color rgb="FF000000"/>
      <x:name val="Aptos Narrow"/>
    </x:font>
  </x:fonts>
  <x:fills count="48">
    <x:fill>
      <x:patternFill patternType="none"/>
    </x:fill>
    <x:fill>
      <x:patternFill patternType="gray125"/>
    </x:fill>
    <x:fill>
      <x:patternFill patternType="solid">
        <x:fgColor rgb="FF20354B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FFD100"/>
      </x:patternFill>
    </x:fill>
    <x:fill>
      <x:patternFill patternType="solid">
        <x:fgColor rgb="FF17324D"/>
      </x:patternFill>
    </x:fill>
    <x:fill>
      <x:patternFill patternType="solid">
        <x:fgColor rgb="FF2878B5"/>
      </x:patternFill>
    </x:fill>
    <x:fill>
      <x:patternFill patternType="solid">
        <x:fgColor rgb="FFEAF4E3"/>
      </x:patternFill>
    </x:fill>
    <x:fill>
      <x:patternFill patternType="solid">
        <x:fgColor rgb="FFE2F0D9"/>
      </x:patternFill>
    </x:fill>
    <x:fill>
      <x:patternFill patternType="solid">
        <x:fgColor rgb="FF20354B"/>
      </x:patternFill>
    </x:fill>
    <x:fill>
      <x:patternFill patternType="solid">
        <x:fgColor rgb="FFFFF200"/>
      </x:patternFill>
    </x:fill>
    <x:fill>
      <x:patternFill patternType="solid">
        <x:fgColor rgb="FFFFFFFF"/>
      </x:patternFill>
    </x:fill>
    <x:fill>
      <x:patternFill patternType="solid">
        <x:fgColor rgb="FF44A6D8"/>
      </x:patternFill>
    </x:fill>
    <x:fill>
      <x:patternFill patternType="solid">
        <x:fgColor rgb="FFF7FBFF"/>
      </x:patternFill>
    </x:fill>
    <x:fill>
      <x:patternFill patternType="solid">
        <x:fgColor rgb="FFD9EAD3"/>
      </x:patternFill>
    </x:fill>
    <x:fill>
      <x:patternFill patternType="solid">
        <x:fgColor rgb="FFE2F0D9"/>
      </x:patternFill>
    </x:fill>
    <x:fill>
      <x:patternFill patternType="solid">
        <x:fgColor rgb="FF20354B"/>
      </x:patternFill>
    </x:fill>
    <x:fill>
      <x:patternFill patternType="solid">
        <x:fgColor rgb="FFFFF200"/>
      </x:patternFill>
    </x:fill>
    <x:fill>
      <x:patternFill patternType="solid">
        <x:fgColor rgb="FFFFFFFF"/>
      </x:patternFill>
    </x:fill>
    <x:fill>
      <x:patternFill patternType="solid">
        <x:fgColor rgb="FF44A6D8"/>
      </x:patternFill>
    </x:fill>
    <x:fill>
      <x:patternFill patternType="solid">
        <x:fgColor rgb="FFF7FBFF"/>
      </x:patternFill>
    </x:fill>
    <x:fill>
      <x:patternFill patternType="solid">
        <x:fgColor rgb="FFD9EAD3"/>
      </x:patternFill>
    </x:fill>
    <x:fill>
      <x:patternFill patternType="solid">
        <x:fgColor rgb="FFE2F0D9"/>
      </x:patternFill>
    </x:fill>
    <x:fill>
      <x:patternFill patternType="solid">
        <x:fgColor rgb="FF20354B"/>
      </x:patternFill>
    </x:fill>
    <x:fill>
      <x:patternFill patternType="solid">
        <x:fgColor rgb="FFFFFFFF"/>
      </x:patternFill>
    </x:fill>
    <x:fill>
      <x:patternFill patternType="solid">
        <x:fgColor rgb="FFFFF200"/>
      </x:patternFill>
    </x:fill>
    <x:fill>
      <x:patternFill patternType="solid">
        <x:fgColor rgb="FF44A6D8"/>
      </x:patternFill>
    </x:fill>
    <x:fill>
      <x:patternFill patternType="solid">
        <x:fgColor rgb="FF2E75B6"/>
      </x:patternFill>
    </x:fill>
    <x:fill>
      <x:patternFill patternType="solid">
        <x:fgColor rgb="FFD9EAD3"/>
      </x:patternFill>
    </x:fill>
    <x:fill>
      <x:patternFill patternType="solid">
        <x:fgColor rgb="FFE2F0D9"/>
      </x:patternFill>
    </x:fill>
    <x:fill>
      <x:patternFill patternType="solid">
        <x:fgColor rgb="FF20354B"/>
      </x:patternFill>
    </x:fill>
    <x:fill>
      <x:patternFill patternType="solid">
        <x:fgColor rgb="FFFFFFFF"/>
      </x:patternFill>
    </x:fill>
    <x:fill>
      <x:patternFill patternType="solid">
        <x:fgColor rgb="FFFFF200"/>
      </x:patternFill>
    </x:fill>
    <x:fill>
      <x:patternFill patternType="solid">
        <x:fgColor rgb="FF44A6D8"/>
      </x:patternFill>
    </x:fill>
    <x:fill>
      <x:patternFill patternType="solid">
        <x:fgColor rgb="FF2E75B6"/>
      </x:patternFill>
    </x:fill>
    <x:fill>
      <x:patternFill patternType="solid">
        <x:fgColor rgb="FFD9EAD3"/>
      </x:patternFill>
    </x:fill>
    <x:fill>
      <x:patternFill patternType="solid">
        <x:fgColor rgb="FFE2F0D9"/>
      </x:patternFill>
    </x:fill>
    <x:fill>
      <x:patternFill patternType="solid">
        <x:fgColor rgb="FF20354B"/>
      </x:patternFill>
    </x:fill>
    <x:fill>
      <x:patternFill patternType="solid">
        <x:fgColor rgb="FFFFFFFF"/>
      </x:patternFill>
    </x:fill>
    <x:fill>
      <x:patternFill patternType="solid">
        <x:fgColor rgb="FFFFF200"/>
      </x:patternFill>
    </x:fill>
    <x:fill>
      <x:patternFill patternType="solid">
        <x:fgColor rgb="FF44A6D8"/>
      </x:patternFill>
    </x:fill>
    <x:fill>
      <x:patternFill patternType="solid">
        <x:fgColor rgb="FF2E75B6"/>
      </x:patternFill>
    </x:fill>
    <x:fill>
      <x:patternFill patternType="solid">
        <x:fgColor rgb="FFD9EAD3"/>
      </x:patternFill>
    </x:fill>
  </x:fills>
  <x:borders count="34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B7C5D1"/>
      </x:left>
      <x:top style="thin">
        <x:color rgb="FFB7C5D1"/>
      </x:top>
    </x:border>
    <x:border>
      <x:top style="thin">
        <x:color rgb="FFB7C5D1"/>
      </x:top>
    </x:border>
    <x:border>
      <x:right style="thin">
        <x:color rgb="FFB7C5D1"/>
      </x:right>
      <x:top style="thin">
        <x:color rgb="FFB7C5D1"/>
      </x:top>
    </x:border>
    <x:border>
      <x:left style="thin">
        <x:color rgb="FFB7C5D1"/>
      </x:left>
    </x:border>
    <x:border>
      <x:right style="thin">
        <x:color rgb="FFB7C5D1"/>
      </x:right>
    </x:border>
    <x:border>
      <x:left style="thin">
        <x:color rgb="FFB7C5D1"/>
      </x:left>
      <x:bottom style="thin">
        <x:color rgb="FFB7C5D1"/>
      </x:bottom>
    </x:border>
    <x:border>
      <x:bottom style="thin">
        <x:color rgb="FFB7C5D1"/>
      </x:bottom>
    </x:border>
    <x:border>
      <x:right style="thin">
        <x:color rgb="FFB7C5D1"/>
      </x:right>
      <x:bottom style="thin">
        <x:color rgb="FFB7C5D1"/>
      </x:bottom>
    </x:border>
    <x:border/>
    <x:border/>
    <x:border/>
    <x:border/>
    <x:border/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  <x:border/>
    <x:border/>
    <x:border/>
    <x:border/>
    <x:border/>
    <x:border/>
    <x:border/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  <x:border/>
    <x:border/>
    <x:border>
      <x:left style="thin">
        <x:color rgb="FF85929E"/>
      </x:left>
      <x:right style="thin">
        <x:color rgb="FF85929E"/>
      </x:right>
      <x:top style="thin">
        <x:color rgb="FF85929E"/>
      </x:top>
      <x:bottom style="thin">
        <x:color rgb="FF85929E"/>
      </x:bottom>
    </x:border>
  </x:borders>
  <x:cellStyleXfs count="1">
    <x:xf numFmtId="0" fontId="0" fillId="0" borderId="0"/>
  </x:cellStyleXfs>
  <x:cellXfs count="378">
    <x:xf numFmtId="0" fontId="0" fillId="0" borderId="0" xfId="0"/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164" fontId="0" fillId="6" borderId="2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164" fontId="0" fillId="7" borderId="2" xfId="0" applyNumberFormat="1" applyFont="1" applyFill="1" applyBorder="1" applyAlignment="1">
      <x:alignment vertical="top" wrapText="1"/>
    </x:xf>
    <x:xf numFmtId="9" fontId="0" fillId="7" borderId="2" xfId="0" applyNumberFormat="1" applyFont="1" applyFill="1" applyBorder="1" applyAlignment="1">
      <x:alignment vertical="top" wrapText="1"/>
    </x:xf>
    <x:xf numFmtId="9" fontId="0" fillId="6" borderId="2" xfId="0" applyNumberFormat="1" applyFont="1" applyFill="1" applyBorder="1" applyAlignment="1">
      <x:alignment vertical="top" wrapText="1"/>
    </x:xf>
    <x:xf numFmtId="9" fontId="0" fillId="5" borderId="2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3" fillId="11" borderId="3" xfId="0" applyNumberFormat="1" applyFont="1" applyFill="1" applyBorder="1" applyAlignment="1">
      <x:alignment wrapText="1"/>
    </x:xf>
    <x:xf numFmtId="0" fontId="3" fillId="11" borderId="4" xfId="0" applyNumberFormat="1" applyFont="1" applyFill="1" applyBorder="1" applyAlignment="1">
      <x:alignment wrapText="1"/>
    </x:xf>
    <x:xf numFmtId="0" fontId="3" fillId="11" borderId="5" xfId="0" applyNumberFormat="1" applyFont="1" applyFill="1" applyBorder="1" applyAlignment="1">
      <x:alignment wrapText="1"/>
    </x:xf>
    <x:xf numFmtId="0" fontId="0" fillId="12" borderId="6" xfId="0" applyNumberFormat="1" applyFont="1" applyFill="1" applyBorder="1" applyAlignment="1">
      <x:alignment vertical="top"/>
    </x:xf>
    <x:xf numFmtId="0" fontId="0" fillId="12" borderId="0" xfId="0" applyNumberFormat="1" applyFont="1" applyFill="1" applyAlignment="1">
      <x:alignment vertical="top"/>
    </x:xf>
    <x:xf numFmtId="0" fontId="0" fillId="12" borderId="7" xfId="0" applyNumberFormat="1" applyFont="1" applyFill="1" applyBorder="1" applyAlignment="1">
      <x:alignment vertical="top"/>
    </x:xf>
    <x:xf numFmtId="0" fontId="0" fillId="12" borderId="8" xfId="0" applyNumberFormat="1" applyFont="1" applyFill="1" applyBorder="1" applyAlignment="1">
      <x:alignment vertical="top"/>
    </x:xf>
    <x:xf numFmtId="0" fontId="0" fillId="12" borderId="9" xfId="0" applyNumberFormat="1" applyFont="1" applyFill="1" applyBorder="1" applyAlignment="1">
      <x:alignment vertical="top"/>
    </x:xf>
    <x:xf numFmtId="0" fontId="0" fillId="12" borderId="1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8" fillId="6" borderId="2" xfId="0" applyNumberFormat="1" applyFont="1" applyFill="1" applyBorder="1" applyAlignment="1">
      <x:alignment vertical="top" wrapText="1"/>
    </x:xf>
    <x:xf numFmtId="164" fontId="8" fillId="6" borderId="2" xfId="0" applyNumberFormat="1" applyFont="1" applyFill="1" applyBorder="1" applyAlignment="1">
      <x:alignment vertical="top" wrapText="1"/>
    </x:xf>
    <x:xf numFmtId="0" fontId="8" fillId="7" borderId="2" xfId="0" applyNumberFormat="1" applyFont="1" applyFill="1" applyBorder="1" applyAlignment="1">
      <x:alignment vertical="top" wrapText="1"/>
    </x:xf>
    <x:xf numFmtId="164" fontId="8" fillId="7" borderId="2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8" fillId="6" borderId="2" xfId="0" applyNumberFormat="1" applyFont="1" applyFill="1" applyBorder="1" applyAlignment="1">
      <x:alignment vertical="center" wrapText="1"/>
    </x:xf>
    <x:xf numFmtId="164" fontId="8" fillId="6" borderId="2" xfId="0" applyNumberFormat="1" applyFont="1" applyFill="1" applyBorder="1" applyAlignment="1">
      <x:alignment vertical="center" wrapText="1"/>
    </x:xf>
    <x:xf numFmtId="0" fontId="8" fillId="7" borderId="2" xfId="0" applyNumberFormat="1" applyFont="1" applyFill="1" applyBorder="1" applyAlignment="1">
      <x:alignment vertical="center" wrapText="1"/>
    </x:xf>
    <x:xf numFmtId="164" fontId="8" fillId="7" borderId="2" xfId="0" applyNumberFormat="1" applyFont="1" applyFill="1" applyBorder="1" applyAlignment="1">
      <x:alignment vertical="center" wrapText="1"/>
    </x:xf>
    <x:xf numFmtId="0" fontId="7" fillId="2" borderId="11" xfId="0" applyNumberFormat="1" applyFont="1" applyFill="1" applyBorder="1" applyAlignment="1">
      <x:alignment horizontal="center" vertical="center" wrapText="1"/>
    </x:xf>
    <x:xf numFmtId="0" fontId="7" fillId="2" borderId="12" xfId="0" applyNumberFormat="1" applyFont="1" applyFill="1" applyBorder="1" applyAlignment="1">
      <x:alignment horizontal="center" vertical="center" wrapText="1"/>
    </x:xf>
    <x:xf numFmtId="0" fontId="8" fillId="0" borderId="12" xfId="0" applyNumberFormat="1" applyFont="1" applyFill="1" applyBorder="1" applyAlignment="1">
      <x:alignment vertical="center" wrapText="1"/>
    </x:xf>
    <x:xf numFmtId="0" fontId="8" fillId="0" borderId="13" xfId="0" applyNumberFormat="1" applyFont="1" applyFill="1" applyBorder="1" applyAlignment="1">
      <x:alignment vertical="center" wrapText="1"/>
    </x:xf>
    <x:xf numFmtId="0" fontId="9" fillId="3" borderId="14" xfId="0" applyNumberFormat="1" applyFont="1" applyFill="1" applyBorder="1" applyAlignment="1">
      <x:alignment vertical="center" wrapText="1"/>
    </x:xf>
    <x:xf numFmtId="0" fontId="8" fillId="0" borderId="15" xfId="0" applyNumberFormat="1" applyFont="1" applyFill="1" applyBorder="1" applyAlignment="1">
      <x:alignment vertical="center" wrapText="1"/>
    </x:xf>
    <x:xf numFmtId="0" fontId="8" fillId="0" borderId="14" xfId="0" applyNumberFormat="1" applyFont="1" applyFill="1" applyBorder="1" applyAlignment="1">
      <x:alignment vertical="center" wrapText="1"/>
    </x:xf>
    <x:xf numFmtId="0" fontId="7" fillId="4" borderId="16" xfId="0" applyNumberFormat="1" applyFont="1" applyFill="1" applyBorder="1" applyAlignment="1">
      <x:alignment horizontal="center" vertical="center" wrapText="1"/>
    </x:xf>
    <x:xf numFmtId="0" fontId="8" fillId="6" borderId="17" xfId="0" applyNumberFormat="1" applyFont="1" applyFill="1" applyBorder="1" applyAlignment="1">
      <x:alignment vertical="center" wrapText="1"/>
    </x:xf>
    <x:xf numFmtId="0" fontId="8" fillId="7" borderId="17" xfId="0" applyNumberFormat="1" applyFont="1" applyFill="1" applyBorder="1" applyAlignment="1">
      <x:alignment vertical="center" wrapText="1"/>
    </x:xf>
    <x:xf numFmtId="0" fontId="8" fillId="7" borderId="18" xfId="0" applyNumberFormat="1" applyFont="1" applyFill="1" applyBorder="1" applyAlignment="1">
      <x:alignment vertical="center" wrapText="1"/>
    </x:xf>
    <x:xf numFmtId="164" fontId="8" fillId="7" borderId="19" xfId="0" applyNumberFormat="1" applyFont="1" applyFill="1" applyBorder="1" applyAlignment="1">
      <x:alignment vertical="center" wrapText="1"/>
    </x:xf>
    <x:xf numFmtId="0" fontId="8" fillId="7" borderId="19" xfId="0" applyNumberFormat="1" applyFont="1" applyFill="1" applyBorder="1" applyAlignment="1">
      <x:alignment vertical="center" wrapText="1"/>
    </x:xf>
    <x:xf numFmtId="0" fontId="8" fillId="0" borderId="20" xfId="0" applyNumberFormat="1" applyFont="1" applyFill="1" applyBorder="1" applyAlignment="1">
      <x:alignment vertical="center" wrapText="1"/>
    </x:xf>
    <x:xf numFmtId="0" fontId="8" fillId="0" borderId="21" xfId="0" applyNumberFormat="1" applyFont="1" applyFill="1" applyBorder="1" applyAlignment="1">
      <x:alignment vertical="center" wrapText="1"/>
    </x:xf>
    <x:xf numFmtId="0" fontId="7" fillId="13" borderId="11" xfId="0" applyNumberFormat="1" applyFont="1" applyFill="1" applyBorder="1" applyAlignment="1">
      <x:alignment horizontal="center" vertical="center" wrapText="1"/>
    </x:xf>
    <x:xf numFmtId="0" fontId="7" fillId="13" borderId="12" xfId="0" applyNumberFormat="1" applyFont="1" applyFill="1" applyBorder="1" applyAlignment="1">
      <x:alignment horizontal="center" vertical="center" wrapText="1"/>
    </x:xf>
    <x:xf numFmtId="0" fontId="8" fillId="13" borderId="12" xfId="0" applyNumberFormat="1" applyFont="1" applyFill="1" applyBorder="1" applyAlignment="1">
      <x:alignment vertical="center" wrapText="1"/>
    </x:xf>
    <x:xf numFmtId="0" fontId="8" fillId="13" borderId="13" xfId="0" applyNumberFormat="1" applyFont="1" applyFill="1" applyBorder="1" applyAlignment="1">
      <x:alignment vertical="center" wrapText="1"/>
    </x:xf>
    <x:xf numFmtId="0" fontId="9" fillId="13" borderId="14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vertical="center" wrapText="1"/>
    </x:xf>
    <x:xf numFmtId="0" fontId="8" fillId="13" borderId="15" xfId="0" applyNumberFormat="1" applyFont="1" applyFill="1" applyBorder="1" applyAlignment="1">
      <x:alignment vertical="center" wrapText="1"/>
    </x:xf>
    <x:xf numFmtId="0" fontId="8" fillId="13" borderId="14" xfId="0" applyNumberFormat="1" applyFont="1" applyFill="1" applyBorder="1" applyAlignment="1">
      <x:alignment vertical="center" wrapText="1"/>
    </x:xf>
    <x:xf numFmtId="0" fontId="7" fillId="13" borderId="16" xfId="0" applyNumberFormat="1" applyFont="1" applyFill="1" applyBorder="1" applyAlignment="1">
      <x:alignment horizontal="center" vertical="center" wrapText="1"/>
    </x:xf>
    <x:xf numFmtId="0" fontId="7" fillId="13" borderId="1" xfId="0" applyNumberFormat="1" applyFont="1" applyFill="1" applyBorder="1" applyAlignment="1">
      <x:alignment horizontal="center" vertical="center" wrapText="1"/>
    </x:xf>
    <x:xf numFmtId="0" fontId="8" fillId="13" borderId="17" xfId="0" applyNumberFormat="1" applyFont="1" applyFill="1" applyBorder="1" applyAlignment="1">
      <x:alignment vertical="center" wrapText="1"/>
    </x:xf>
    <x:xf numFmtId="164" fontId="8" fillId="13" borderId="2" xfId="0" applyNumberFormat="1" applyFont="1" applyFill="1" applyBorder="1" applyAlignment="1">
      <x:alignment vertical="center" wrapText="1"/>
    </x:xf>
    <x:xf numFmtId="0" fontId="8" fillId="13" borderId="2" xfId="0" applyNumberFormat="1" applyFont="1" applyFill="1" applyBorder="1" applyAlignment="1">
      <x:alignment vertical="center" wrapText="1"/>
    </x:xf>
    <x:xf numFmtId="0" fontId="8" fillId="13" borderId="18" xfId="0" applyNumberFormat="1" applyFont="1" applyFill="1" applyBorder="1" applyAlignment="1">
      <x:alignment vertical="center" wrapText="1"/>
    </x:xf>
    <x:xf numFmtId="164" fontId="8" fillId="13" borderId="19" xfId="0" applyNumberFormat="1" applyFont="1" applyFill="1" applyBorder="1" applyAlignment="1">
      <x:alignment vertical="center" wrapText="1"/>
    </x:xf>
    <x:xf numFmtId="0" fontId="8" fillId="13" borderId="19" xfId="0" applyNumberFormat="1" applyFont="1" applyFill="1" applyBorder="1" applyAlignment="1">
      <x:alignment vertical="center" wrapText="1"/>
    </x:xf>
    <x:xf numFmtId="0" fontId="8" fillId="13" borderId="20" xfId="0" applyNumberFormat="1" applyFont="1" applyFill="1" applyBorder="1" applyAlignment="1">
      <x:alignment vertical="center" wrapText="1"/>
    </x:xf>
    <x:xf numFmtId="0" fontId="8" fillId="13" borderId="21" xfId="0" applyNumberFormat="1" applyFont="1" applyFill="1" applyBorder="1" applyAlignment="1">
      <x:alignment vertical="center" wrapText="1"/>
    </x:xf>
    <x:xf numFmtId="0" fontId="7" fillId="14" borderId="11" xfId="0" applyNumberFormat="1" applyFont="1" applyFill="1" applyBorder="1" applyAlignment="1">
      <x:alignment horizontal="center" vertical="center" wrapText="1"/>
    </x:xf>
    <x:xf numFmtId="0" fontId="7" fillId="14" borderId="12" xfId="0" applyNumberFormat="1" applyFont="1" applyFill="1" applyBorder="1" applyAlignment="1">
      <x:alignment horizontal="center" vertical="center" wrapText="1"/>
    </x:xf>
    <x:xf numFmtId="0" fontId="8" fillId="14" borderId="12" xfId="0" applyNumberFormat="1" applyFont="1" applyFill="1" applyBorder="1" applyAlignment="1">
      <x:alignment vertical="center" wrapText="1"/>
    </x:xf>
    <x:xf numFmtId="0" fontId="8" fillId="14" borderId="13" xfId="0" applyNumberFormat="1" applyFont="1" applyFill="1" applyBorder="1" applyAlignment="1">
      <x:alignment vertical="center" wrapText="1"/>
    </x:xf>
    <x:xf numFmtId="0" fontId="9" fillId="14" borderId="14" xfId="0" applyNumberFormat="1" applyFont="1" applyFill="1" applyBorder="1" applyAlignment="1">
      <x:alignment vertical="center" wrapText="1"/>
    </x:xf>
    <x:xf numFmtId="0" fontId="9" fillId="14" borderId="0" xfId="0" applyNumberFormat="1" applyFont="1" applyFill="1" applyBorder="1" applyAlignment="1">
      <x:alignment vertical="center" wrapText="1"/>
    </x:xf>
    <x:xf numFmtId="0" fontId="8" fillId="14" borderId="0" xfId="0" applyNumberFormat="1" applyFont="1" applyFill="1" applyBorder="1" applyAlignment="1">
      <x:alignment vertical="center" wrapText="1"/>
    </x:xf>
    <x:xf numFmtId="0" fontId="8" fillId="14" borderId="15" xfId="0" applyNumberFormat="1" applyFont="1" applyFill="1" applyBorder="1" applyAlignment="1">
      <x:alignment vertical="center" wrapText="1"/>
    </x:xf>
    <x:xf numFmtId="0" fontId="10" fillId="14" borderId="11" xfId="0" applyNumberFormat="1" applyFont="1" applyFill="1" applyBorder="1" applyAlignment="1">
      <x:alignment horizontal="center" vertical="center" wrapText="1"/>
    </x:xf>
    <x:xf numFmtId="0" fontId="10" fillId="14" borderId="12" xfId="0" applyNumberFormat="1" applyFont="1" applyFill="1" applyBorder="1" applyAlignment="1">
      <x:alignment horizontal="center" vertical="center" wrapText="1"/>
    </x:xf>
    <x:xf numFmtId="0" fontId="10" fillId="14" borderId="12" xfId="0" applyNumberFormat="1" applyFont="1" applyFill="1" applyBorder="1" applyAlignment="1">
      <x:alignment vertical="center" wrapText="1"/>
    </x:xf>
    <x:xf numFmtId="0" fontId="10" fillId="14" borderId="13" xfId="0" applyNumberFormat="1" applyFont="1" applyFill="1" applyBorder="1" applyAlignment="1">
      <x:alignment vertical="center" wrapText="1"/>
    </x:xf>
    <x:xf numFmtId="0" fontId="11" fillId="14" borderId="14" xfId="0" applyNumberFormat="1" applyFont="1" applyFill="1" applyBorder="1" applyAlignment="1">
      <x:alignment vertical="center" wrapText="1"/>
    </x:xf>
    <x:xf numFmtId="0" fontId="11" fillId="14" borderId="0" xfId="0" applyNumberFormat="1" applyFont="1" applyFill="1" applyBorder="1" applyAlignment="1">
      <x:alignment vertical="center" wrapText="1"/>
    </x:xf>
    <x:xf numFmtId="0" fontId="10" fillId="14" borderId="0" xfId="0" applyNumberFormat="1" applyFont="1" applyFill="1" applyBorder="1" applyAlignment="1">
      <x:alignment vertical="center" wrapText="1"/>
    </x:xf>
    <x:xf numFmtId="0" fontId="10" fillId="14" borderId="15" xfId="0" applyNumberFormat="1" applyFont="1" applyFill="1" applyBorder="1" applyAlignment="1">
      <x:alignment vertical="center" wrapText="1"/>
    </x:xf>
    <x:xf numFmtId="0" fontId="10" fillId="14" borderId="13" xfId="0" applyNumberFormat="1" applyFont="1" applyFill="1" applyBorder="1" applyAlignment="1">
      <x:alignment horizontal="center" vertical="center" wrapText="1"/>
    </x:xf>
    <x:xf numFmtId="0" fontId="11" fillId="14" borderId="14" xfId="0" applyNumberFormat="1" applyFont="1" applyFill="1" applyBorder="1" applyAlignment="1">
      <x:alignment horizontal="center" vertical="center" wrapText="1"/>
    </x:xf>
    <x:xf numFmtId="0" fontId="11" fillId="14" borderId="0" xfId="0" applyNumberFormat="1" applyFont="1" applyFill="1" applyBorder="1" applyAlignment="1">
      <x:alignment horizontal="center" vertical="center" wrapText="1"/>
    </x:xf>
    <x:xf numFmtId="0" fontId="10" fillId="14" borderId="0" xfId="0" applyNumberFormat="1" applyFont="1" applyFill="1" applyBorder="1" applyAlignment="1">
      <x:alignment horizontal="center" vertical="center" wrapText="1"/>
    </x:xf>
    <x:xf numFmtId="0" fontId="10" fillId="14" borderId="15" xfId="0" applyNumberFormat="1" applyFont="1" applyFill="1" applyBorder="1" applyAlignment="1">
      <x:alignment horizontal="center" vertical="center" wrapText="1"/>
    </x:xf>
    <x:xf numFmtId="0" fontId="8" fillId="14" borderId="14" xfId="0" applyNumberFormat="1" applyFont="1" applyFill="1" applyBorder="1" applyAlignment="1">
      <x:alignment vertical="center" wrapText="1"/>
    </x:xf>
    <x:xf numFmtId="0" fontId="7" fillId="14" borderId="16" xfId="0" applyNumberFormat="1" applyFont="1" applyFill="1" applyBorder="1" applyAlignment="1">
      <x:alignment horizontal="center" vertical="center" wrapText="1"/>
    </x:xf>
    <x:xf numFmtId="0" fontId="7" fillId="14" borderId="1" xfId="0" applyNumberFormat="1" applyFont="1" applyFill="1" applyBorder="1" applyAlignment="1">
      <x:alignment horizontal="center" vertical="center" wrapText="1"/>
    </x:xf>
    <x:xf numFmtId="0" fontId="8" fillId="14" borderId="17" xfId="0" applyNumberFormat="1" applyFont="1" applyFill="1" applyBorder="1" applyAlignment="1">
      <x:alignment vertical="center" wrapText="1"/>
    </x:xf>
    <x:xf numFmtId="164" fontId="8" fillId="14" borderId="2" xfId="0" applyNumberFormat="1" applyFont="1" applyFill="1" applyBorder="1" applyAlignment="1">
      <x:alignment vertical="center" wrapText="1"/>
    </x:xf>
    <x:xf numFmtId="0" fontId="8" fillId="14" borderId="2" xfId="0" applyNumberFormat="1" applyFont="1" applyFill="1" applyBorder="1" applyAlignment="1">
      <x:alignment vertical="center" wrapText="1"/>
    </x:xf>
    <x:xf numFmtId="0" fontId="10" fillId="14" borderId="14" xfId="0" applyNumberFormat="1" applyFont="1" applyFill="1" applyBorder="1" applyAlignment="1">
      <x:alignment vertical="center" wrapText="1"/>
    </x:xf>
    <x:xf numFmtId="0" fontId="10" fillId="14" borderId="16" xfId="0" applyNumberFormat="1" applyFont="1" applyFill="1" applyBorder="1" applyAlignment="1">
      <x:alignment horizontal="center" vertical="center" wrapText="1"/>
    </x:xf>
    <x:xf numFmtId="0" fontId="10" fillId="14" borderId="1" xfId="0" applyNumberFormat="1" applyFont="1" applyFill="1" applyBorder="1" applyAlignment="1">
      <x:alignment horizontal="center" vertical="center" wrapText="1"/>
    </x:xf>
    <x:xf numFmtId="0" fontId="10" fillId="14" borderId="17" xfId="0" applyNumberFormat="1" applyFont="1" applyFill="1" applyBorder="1" applyAlignment="1">
      <x:alignment vertical="center" wrapText="1"/>
    </x:xf>
    <x:xf numFmtId="164" fontId="10" fillId="14" borderId="2" xfId="0" applyNumberFormat="1" applyFont="1" applyFill="1" applyBorder="1" applyAlignment="1">
      <x:alignment vertical="center" wrapText="1"/>
    </x:xf>
    <x:xf numFmtId="0" fontId="10" fillId="14" borderId="2" xfId="0" applyNumberFormat="1" applyFont="1" applyFill="1" applyBorder="1" applyAlignment="1">
      <x:alignment vertical="center" wrapText="1"/>
    </x:xf>
    <x:xf numFmtId="0" fontId="10" fillId="14" borderId="14" xfId="0" applyNumberFormat="1" applyFont="1" applyFill="1" applyBorder="1" applyAlignment="1">
      <x:alignment horizontal="center" vertical="center" wrapText="1"/>
    </x:xf>
    <x:xf numFmtId="0" fontId="10" fillId="14" borderId="17" xfId="0" applyNumberFormat="1" applyFont="1" applyFill="1" applyBorder="1" applyAlignment="1">
      <x:alignment horizontal="center" vertical="center" wrapText="1"/>
    </x:xf>
    <x:xf numFmtId="164" fontId="10" fillId="14" borderId="2" xfId="0" applyNumberFormat="1" applyFont="1" applyFill="1" applyBorder="1" applyAlignment="1">
      <x:alignment horizontal="center" vertical="center" wrapText="1"/>
    </x:xf>
    <x:xf numFmtId="0" fontId="10" fillId="14" borderId="2" xfId="0" applyNumberFormat="1" applyFont="1" applyFill="1" applyBorder="1" applyAlignment="1">
      <x:alignment horizontal="center" vertical="center" wrapText="1"/>
    </x:xf>
    <x:xf numFmtId="0" fontId="8" fillId="15" borderId="17" xfId="0" applyNumberFormat="1" applyFont="1" applyFill="1" applyBorder="1" applyAlignment="1">
      <x:alignment vertical="center" wrapText="1"/>
    </x:xf>
    <x:xf numFmtId="164" fontId="8" fillId="15" borderId="2" xfId="0" applyNumberFormat="1" applyFont="1" applyFill="1" applyBorder="1" applyAlignment="1">
      <x:alignment vertical="center" wrapText="1"/>
    </x:xf>
    <x:xf numFmtId="0" fontId="8" fillId="15" borderId="2" xfId="0" applyNumberFormat="1" applyFont="1" applyFill="1" applyBorder="1" applyAlignment="1">
      <x:alignment vertical="center" wrapText="1"/>
    </x:xf>
    <x:xf numFmtId="0" fontId="8" fillId="15" borderId="0" xfId="0" applyNumberFormat="1" applyFont="1" applyFill="1" applyBorder="1" applyAlignment="1">
      <x:alignment vertical="center" wrapText="1"/>
    </x:xf>
    <x:xf numFmtId="0" fontId="8" fillId="15" borderId="15" xfId="0" applyNumberFormat="1" applyFont="1" applyFill="1" applyBorder="1" applyAlignment="1">
      <x:alignment vertical="center" wrapText="1"/>
    </x:xf>
    <x:xf numFmtId="0" fontId="12" fillId="15" borderId="17" xfId="0" applyNumberFormat="1" applyFont="1" applyFill="1" applyBorder="1" applyAlignment="1">
      <x:alignment vertical="center" wrapText="1"/>
    </x:xf>
    <x:xf numFmtId="164" fontId="12" fillId="15" borderId="2" xfId="0" applyNumberFormat="1" applyFont="1" applyFill="1" applyBorder="1" applyAlignment="1">
      <x:alignment vertical="center" wrapText="1"/>
    </x:xf>
    <x:xf numFmtId="0" fontId="12" fillId="15" borderId="2" xfId="0" applyNumberFormat="1" applyFont="1" applyFill="1" applyBorder="1" applyAlignment="1">
      <x:alignment vertical="center" wrapText="1"/>
    </x:xf>
    <x:xf numFmtId="0" fontId="12" fillId="15" borderId="0" xfId="0" applyNumberFormat="1" applyFont="1" applyFill="1" applyBorder="1" applyAlignment="1">
      <x:alignment vertical="center" wrapText="1"/>
    </x:xf>
    <x:xf numFmtId="0" fontId="12" fillId="15" borderId="15" xfId="0" applyNumberFormat="1" applyFont="1" applyFill="1" applyBorder="1" applyAlignment="1">
      <x:alignment vertical="center" wrapText="1"/>
    </x:xf>
    <x:xf numFmtId="0" fontId="12" fillId="15" borderId="17" xfId="0" applyNumberFormat="1" applyFont="1" applyFill="1" applyBorder="1" applyAlignment="1">
      <x:alignment horizontal="center" vertical="center" wrapText="1"/>
    </x:xf>
    <x:xf numFmtId="164" fontId="12" fillId="15" borderId="2" xfId="0" applyNumberFormat="1" applyFont="1" applyFill="1" applyBorder="1" applyAlignment="1">
      <x:alignment horizontal="center" vertical="center" wrapText="1"/>
    </x:xf>
    <x:xf numFmtId="0" fontId="12" fillId="15" borderId="2" xfId="0" applyNumberFormat="1" applyFont="1" applyFill="1" applyBorder="1" applyAlignment="1">
      <x:alignment horizontal="center" vertical="center" wrapText="1"/>
    </x:xf>
    <x:xf numFmtId="0" fontId="12" fillId="15" borderId="0" xfId="0" applyNumberFormat="1" applyFont="1" applyFill="1" applyBorder="1" applyAlignment="1">
      <x:alignment horizontal="center" vertical="center" wrapText="1"/>
    </x:xf>
    <x:xf numFmtId="0" fontId="12" fillId="15" borderId="15" xfId="0" applyNumberFormat="1" applyFont="1" applyFill="1" applyBorder="1" applyAlignment="1">
      <x:alignment horizontal="center" vertical="center" wrapText="1"/>
    </x:xf>
    <x:xf numFmtId="0" fontId="8" fillId="16" borderId="17" xfId="0" applyNumberFormat="1" applyFont="1" applyFill="1" applyBorder="1" applyAlignment="1">
      <x:alignment vertical="center" wrapText="1"/>
    </x:xf>
    <x:xf numFmtId="164" fontId="8" fillId="16" borderId="2" xfId="0" applyNumberFormat="1" applyFont="1" applyFill="1" applyBorder="1" applyAlignment="1">
      <x:alignment vertical="center" wrapText="1"/>
    </x:xf>
    <x:xf numFmtId="0" fontId="8" fillId="16" borderId="2" xfId="0" applyNumberFormat="1" applyFont="1" applyFill="1" applyBorder="1" applyAlignment="1">
      <x:alignment vertical="center" wrapText="1"/>
    </x:xf>
    <x:xf numFmtId="0" fontId="8" fillId="16" borderId="0" xfId="0" applyNumberFormat="1" applyFont="1" applyFill="1" applyBorder="1" applyAlignment="1">
      <x:alignment vertical="center" wrapText="1"/>
    </x:xf>
    <x:xf numFmtId="0" fontId="8" fillId="16" borderId="15" xfId="0" applyNumberFormat="1" applyFont="1" applyFill="1" applyBorder="1" applyAlignment="1">
      <x:alignment vertical="center" wrapText="1"/>
    </x:xf>
    <x:xf numFmtId="0" fontId="13" fillId="16" borderId="17" xfId="0" applyNumberFormat="1" applyFont="1" applyFill="1" applyBorder="1" applyAlignment="1">
      <x:alignment vertical="center" wrapText="1"/>
    </x:xf>
    <x:xf numFmtId="164" fontId="13" fillId="16" borderId="2" xfId="0" applyNumberFormat="1" applyFont="1" applyFill="1" applyBorder="1" applyAlignment="1">
      <x:alignment vertical="center" wrapText="1"/>
    </x:xf>
    <x:xf numFmtId="0" fontId="13" fillId="16" borderId="2" xfId="0" applyNumberFormat="1" applyFont="1" applyFill="1" applyBorder="1" applyAlignment="1">
      <x:alignment vertical="center" wrapText="1"/>
    </x:xf>
    <x:xf numFmtId="0" fontId="13" fillId="16" borderId="0" xfId="0" applyNumberFormat="1" applyFont="1" applyFill="1" applyBorder="1" applyAlignment="1">
      <x:alignment vertical="center" wrapText="1"/>
    </x:xf>
    <x:xf numFmtId="0" fontId="13" fillId="16" borderId="15" xfId="0" applyNumberFormat="1" applyFont="1" applyFill="1" applyBorder="1" applyAlignment="1">
      <x:alignment vertical="center" wrapText="1"/>
    </x:xf>
    <x:xf numFmtId="0" fontId="13" fillId="16" borderId="17" xfId="0" applyNumberFormat="1" applyFont="1" applyFill="1" applyBorder="1" applyAlignment="1">
      <x:alignment horizontal="center" vertical="center" wrapText="1"/>
    </x:xf>
    <x:xf numFmtId="164" fontId="13" fillId="16" borderId="2" xfId="0" applyNumberFormat="1" applyFont="1" applyFill="1" applyBorder="1" applyAlignment="1">
      <x:alignment horizontal="center" vertical="center" wrapText="1"/>
    </x:xf>
    <x:xf numFmtId="0" fontId="13" fillId="16" borderId="2" xfId="0" applyNumberFormat="1" applyFont="1" applyFill="1" applyBorder="1" applyAlignment="1">
      <x:alignment horizontal="center" vertical="center" wrapText="1"/>
    </x:xf>
    <x:xf numFmtId="0" fontId="13" fillId="16" borderId="0" xfId="0" applyNumberFormat="1" applyFont="1" applyFill="1" applyBorder="1" applyAlignment="1">
      <x:alignment horizontal="center" vertical="center" wrapText="1"/>
    </x:xf>
    <x:xf numFmtId="0" fontId="13" fillId="16" borderId="15" xfId="0" applyNumberFormat="1" applyFont="1" applyFill="1" applyBorder="1" applyAlignment="1">
      <x:alignment horizontal="center" vertical="center" wrapText="1"/>
    </x:xf>
    <x:xf numFmtId="0" fontId="8" fillId="17" borderId="17" xfId="0" applyNumberFormat="1" applyFont="1" applyFill="1" applyBorder="1" applyAlignment="1">
      <x:alignment vertical="center" wrapText="1"/>
    </x:xf>
    <x:xf numFmtId="164" fontId="8" fillId="17" borderId="2" xfId="0" applyNumberFormat="1" applyFont="1" applyFill="1" applyBorder="1" applyAlignment="1">
      <x:alignment vertical="center" wrapText="1"/>
    </x:xf>
    <x:xf numFmtId="0" fontId="8" fillId="17" borderId="2" xfId="0" applyNumberFormat="1" applyFont="1" applyFill="1" applyBorder="1" applyAlignment="1">
      <x:alignment vertical="center" wrapText="1"/>
    </x:xf>
    <x:xf numFmtId="0" fontId="14" fillId="17" borderId="17" xfId="0" applyNumberFormat="1" applyFont="1" applyFill="1" applyBorder="1" applyAlignment="1">
      <x:alignment vertical="center" wrapText="1"/>
    </x:xf>
    <x:xf numFmtId="164" fontId="14" fillId="17" borderId="2" xfId="0" applyNumberFormat="1" applyFont="1" applyFill="1" applyBorder="1" applyAlignment="1">
      <x:alignment vertical="center" wrapText="1"/>
    </x:xf>
    <x:xf numFmtId="0" fontId="14" fillId="17" borderId="2" xfId="0" applyNumberFormat="1" applyFont="1" applyFill="1" applyBorder="1" applyAlignment="1">
      <x:alignment vertical="center" wrapText="1"/>
    </x:xf>
    <x:xf numFmtId="0" fontId="8" fillId="17" borderId="0" xfId="0" applyNumberFormat="1" applyFont="1" applyFill="1" applyBorder="1" applyAlignment="1">
      <x:alignment vertical="center" wrapText="1"/>
    </x:xf>
    <x:xf numFmtId="0" fontId="8" fillId="17" borderId="15" xfId="0" applyNumberFormat="1" applyFont="1" applyFill="1" applyBorder="1" applyAlignment="1">
      <x:alignment vertical="center" wrapText="1"/>
    </x:xf>
    <x:xf numFmtId="0" fontId="14" fillId="17" borderId="0" xfId="0" applyNumberFormat="1" applyFont="1" applyFill="1" applyBorder="1" applyAlignment="1">
      <x:alignment vertical="center" wrapText="1"/>
    </x:xf>
    <x:xf numFmtId="0" fontId="14" fillId="17" borderId="15" xfId="0" applyNumberFormat="1" applyFont="1" applyFill="1" applyBorder="1" applyAlignment="1">
      <x:alignment vertical="center" wrapText="1"/>
    </x:xf>
    <x:xf numFmtId="0" fontId="8" fillId="18" borderId="17" xfId="0" applyNumberFormat="1" applyFont="1" applyFill="1" applyBorder="1" applyAlignment="1">
      <x:alignment vertical="center" wrapText="1"/>
    </x:xf>
    <x:xf numFmtId="164" fontId="8" fillId="18" borderId="2" xfId="0" applyNumberFormat="1" applyFont="1" applyFill="1" applyBorder="1" applyAlignment="1">
      <x:alignment vertical="center" wrapText="1"/>
    </x:xf>
    <x:xf numFmtId="0" fontId="8" fillId="18" borderId="2" xfId="0" applyNumberFormat="1" applyFont="1" applyFill="1" applyBorder="1" applyAlignment="1">
      <x:alignment vertical="center" wrapText="1"/>
    </x:xf>
    <x:xf numFmtId="0" fontId="8" fillId="19" borderId="17" xfId="0" applyNumberFormat="1" applyFont="1" applyFill="1" applyBorder="1" applyAlignment="1">
      <x:alignment vertical="center" wrapText="1"/>
    </x:xf>
    <x:xf numFmtId="164" fontId="8" fillId="19" borderId="2" xfId="0" applyNumberFormat="1" applyFont="1" applyFill="1" applyBorder="1" applyAlignment="1">
      <x:alignment vertical="center" wrapText="1"/>
    </x:xf>
    <x:xf numFmtId="0" fontId="8" fillId="19" borderId="2" xfId="0" applyNumberFormat="1" applyFont="1" applyFill="1" applyBorder="1" applyAlignment="1">
      <x:alignment vertical="center" wrapText="1"/>
    </x:xf>
    <x:xf numFmtId="0" fontId="8" fillId="19" borderId="18" xfId="0" applyNumberFormat="1" applyFont="1" applyFill="1" applyBorder="1" applyAlignment="1">
      <x:alignment vertical="center" wrapText="1"/>
    </x:xf>
    <x:xf numFmtId="164" fontId="8" fillId="19" borderId="19" xfId="0" applyNumberFormat="1" applyFont="1" applyFill="1" applyBorder="1" applyAlignment="1">
      <x:alignment vertical="center" wrapText="1"/>
    </x:xf>
    <x:xf numFmtId="0" fontId="8" fillId="19" borderId="19" xfId="0" applyNumberFormat="1" applyFont="1" applyFill="1" applyBorder="1" applyAlignment="1">
      <x:alignment vertical="center" wrapText="1"/>
    </x:xf>
    <x:xf numFmtId="0" fontId="7" fillId="2" borderId="13" xfId="0" applyNumberFormat="1" applyFont="1" applyFill="1" applyBorder="1" applyAlignment="1">
      <x:alignment horizontal="center" vertical="center" wrapText="1"/>
    </x:xf>
    <x:xf numFmtId="0" fontId="15" fillId="2" borderId="14" xfId="0" applyNumberFormat="1" applyFont="1" applyFill="1" applyBorder="1" applyAlignment="1">
      <x:alignment horizontal="center" vertical="center" wrapText="1"/>
    </x:xf>
    <x:xf numFmtId="0" fontId="15" fillId="2" borderId="0" xfId="0" applyNumberFormat="1" applyFont="1" applyFill="1" applyBorder="1" applyAlignment="1">
      <x:alignment horizontal="center" vertical="center" wrapText="1"/>
    </x:xf>
    <x:xf numFmtId="0" fontId="7" fillId="2" borderId="15" xfId="0" applyNumberFormat="1" applyFont="1" applyFill="1" applyBorder="1" applyAlignment="1">
      <x:alignment horizontal="center" vertical="center" wrapText="1"/>
    </x:xf>
    <x:xf numFmtId="0" fontId="7" fillId="2" borderId="14" xfId="0" applyNumberFormat="1" applyFont="1" applyFill="1" applyBorder="1" applyAlignment="1">
      <x:alignment horizontal="center" vertical="center" wrapText="1"/>
    </x:xf>
    <x:xf numFmtId="0" fontId="7" fillId="2" borderId="16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7" fillId="2" borderId="17" xfId="0" applyNumberFormat="1" applyFont="1" applyFill="1" applyBorder="1" applyAlignment="1">
      <x:alignment horizontal="center" vertical="center" wrapText="1"/>
    </x:xf>
    <x:xf numFmtId="164" fontId="7" fillId="2" borderId="2" xfId="0" applyNumberFormat="1" applyFont="1" applyFill="1" applyBorder="1" applyAlignment="1">
      <x:alignment horizontal="center" vertic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14" fillId="15" borderId="17" xfId="0" applyNumberFormat="1" applyFont="1" applyFill="1" applyBorder="1" applyAlignment="1">
      <x:alignment horizontal="center" vertical="center" wrapText="1"/>
    </x:xf>
    <x:xf numFmtId="164" fontId="14" fillId="15" borderId="2" xfId="0" applyNumberFormat="1" applyFont="1" applyFill="1" applyBorder="1" applyAlignment="1">
      <x:alignment horizontal="center" vertical="center" wrapText="1"/>
    </x:xf>
    <x:xf numFmtId="0" fontId="14" fillId="15" borderId="2" xfId="0" applyNumberFormat="1" applyFont="1" applyFill="1" applyBorder="1" applyAlignment="1">
      <x:alignment horizontal="center" vertical="center" wrapText="1"/>
    </x:xf>
    <x:xf numFmtId="0" fontId="14" fillId="15" borderId="0" xfId="0" applyNumberFormat="1" applyFont="1" applyFill="1" applyBorder="1" applyAlignment="1">
      <x:alignment horizontal="center" vertical="center" wrapText="1"/>
    </x:xf>
    <x:xf numFmtId="0" fontId="14" fillId="15" borderId="15" xfId="0" applyNumberFormat="1" applyFont="1" applyFill="1" applyBorder="1" applyAlignment="1">
      <x:alignment horizontal="center" vertical="center" wrapText="1"/>
    </x:xf>
    <x:xf numFmtId="0" fontId="14" fillId="5" borderId="17" xfId="0" applyNumberFormat="1" applyFont="1" applyFill="1" applyBorder="1" applyAlignment="1">
      <x:alignment horizontal="center" vertical="center" wrapText="1"/>
    </x:xf>
    <x:xf numFmtId="164" fontId="14" fillId="5" borderId="2" xfId="0" applyNumberFormat="1" applyFont="1" applyFill="1" applyBorder="1" applyAlignment="1">
      <x:alignment horizontal="center" vertical="center" wrapText="1"/>
    </x:xf>
    <x:xf numFmtId="0" fontId="14" fillId="5" borderId="2" xfId="0" applyNumberFormat="1" applyFont="1" applyFill="1" applyBorder="1" applyAlignment="1">
      <x:alignment horizontal="center" vertical="center" wrapText="1"/>
    </x:xf>
    <x:xf numFmtId="0" fontId="14" fillId="5" borderId="0" xfId="0" applyNumberFormat="1" applyFont="1" applyFill="1" applyBorder="1" applyAlignment="1">
      <x:alignment horizontal="center" vertical="center" wrapText="1"/>
    </x:xf>
    <x:xf numFmtId="0" fontId="14" fillId="5" borderId="15" xfId="0" applyNumberFormat="1" applyFont="1" applyFill="1" applyBorder="1" applyAlignment="1">
      <x:alignment horizontal="center" vertical="center" wrapText="1"/>
    </x:xf>
    <x:xf numFmtId="0" fontId="8" fillId="6" borderId="18" xfId="0" applyNumberFormat="1" applyFont="1" applyFill="1" applyBorder="1" applyAlignment="1">
      <x:alignment vertical="center" wrapText="1"/>
    </x:xf>
    <x:xf numFmtId="164" fontId="8" fillId="6" borderId="19" xfId="0" applyNumberFormat="1" applyFont="1" applyFill="1" applyBorder="1" applyAlignment="1">
      <x:alignment vertical="center" wrapText="1"/>
    </x:xf>
    <x:xf numFmtId="0" fontId="8" fillId="6" borderId="19" xfId="0" applyNumberFormat="1" applyFont="1" applyFill="1" applyBorder="1" applyAlignment="1">
      <x:alignment vertical="center" wrapText="1"/>
    </x:xf>
    <x:xf numFmtId="200" fontId="7" fillId="2" borderId="11" xfId="0" applyNumberFormat="1" applyFont="1" applyFill="1" applyBorder="1" applyAlignment="1">
      <x:alignment horizontal="center" vertical="center" wrapText="1"/>
    </x:xf>
    <x:xf numFmtId="200" fontId="7" fillId="2" borderId="12" xfId="0" applyNumberFormat="1" applyFont="1" applyFill="1" applyBorder="1" applyAlignment="1">
      <x:alignment horizontal="center" vertical="center" wrapText="1"/>
    </x:xf>
    <x:xf numFmtId="200" fontId="7" fillId="2" borderId="13" xfId="0" applyNumberFormat="1" applyFont="1" applyFill="1" applyBorder="1" applyAlignment="1">
      <x:alignment horizontal="center" vertical="center" wrapText="1"/>
    </x:xf>
    <x:xf numFmtId="200" fontId="15" fillId="2" borderId="14" xfId="0" applyNumberFormat="1" applyFont="1" applyFill="1" applyBorder="1" applyAlignment="1">
      <x:alignment horizontal="center" vertical="center" wrapText="1"/>
    </x:xf>
    <x:xf numFmtId="200" fontId="15" fillId="2" borderId="0" xfId="0" applyNumberFormat="1" applyFont="1" applyFill="1" applyBorder="1" applyAlignment="1">
      <x:alignment horizontal="center" vertical="center" wrapText="1"/>
    </x:xf>
    <x:xf numFmtId="200" fontId="7" fillId="2" borderId="0" xfId="0" applyNumberFormat="1" applyFont="1" applyFill="1" applyBorder="1" applyAlignment="1">
      <x:alignment horizontal="center" vertical="center" wrapText="1"/>
    </x:xf>
    <x:xf numFmtId="200" fontId="7" fillId="2" borderId="15" xfId="0" applyNumberFormat="1" applyFont="1" applyFill="1" applyBorder="1" applyAlignment="1">
      <x:alignment horizontal="center" vertical="center" wrapText="1"/>
    </x:xf>
    <x:xf numFmtId="200" fontId="7" fillId="2" borderId="14" xfId="0" applyNumberFormat="1" applyFont="1" applyFill="1" applyBorder="1" applyAlignment="1">
      <x:alignment horizontal="center" vertical="center" wrapText="1"/>
    </x:xf>
    <x:xf numFmtId="200" fontId="8" fillId="13" borderId="0" xfId="0" applyNumberFormat="1" applyFont="1" applyFill="1" applyBorder="1" applyAlignment="1">
      <x:alignment vertical="center" wrapText="1"/>
    </x:xf>
    <x:xf numFmtId="200" fontId="7" fillId="2" borderId="16" xfId="0" applyNumberFormat="1" applyFont="1" applyFill="1" applyBorder="1" applyAlignment="1">
      <x:alignment horizontal="center" vertical="center" wrapText="1"/>
    </x:xf>
    <x:xf numFmtId="200" fontId="7" fillId="2" borderId="1" xfId="0" applyNumberFormat="1" applyFont="1" applyFill="1" applyBorder="1" applyAlignment="1">
      <x:alignment horizontal="center" vertical="center" wrapText="1"/>
    </x:xf>
    <x:xf numFmtId="200" fontId="7" fillId="13" borderId="1" xfId="0" applyNumberFormat="1" applyFont="1" applyFill="1" applyBorder="1" applyAlignment="1">
      <x:alignment horizontal="center" vertical="center" wrapText="1"/>
    </x:xf>
    <x:xf numFmtId="200" fontId="7" fillId="2" borderId="17" xfId="0" applyNumberFormat="1" applyFont="1" applyFill="1" applyBorder="1" applyAlignment="1">
      <x:alignment horizontal="center" vertical="center" wrapText="1"/>
    </x:xf>
    <x:xf numFmtId="200" fontId="7" fillId="2" borderId="2" xfId="0" applyNumberFormat="1" applyFont="1" applyFill="1" applyBorder="1" applyAlignment="1">
      <x:alignment horizontal="center" vertical="center" wrapText="1"/>
    </x:xf>
    <x:xf numFmtId="200" fontId="8" fillId="13" borderId="2" xfId="0" applyNumberFormat="1" applyFont="1" applyFill="1" applyBorder="1" applyAlignment="1">
      <x:alignment vertical="center" wrapText="1"/>
    </x:xf>
    <x:xf numFmtId="200" fontId="14" fillId="15" borderId="17" xfId="0" applyNumberFormat="1" applyFont="1" applyFill="1" applyBorder="1" applyAlignment="1">
      <x:alignment horizontal="center" vertical="center" wrapText="1"/>
    </x:xf>
    <x:xf numFmtId="200" fontId="14" fillId="15" borderId="2" xfId="0" applyNumberFormat="1" applyFont="1" applyFill="1" applyBorder="1" applyAlignment="1">
      <x:alignment horizontal="center" vertical="center" wrapText="1"/>
    </x:xf>
    <x:xf numFmtId="200" fontId="14" fillId="15" borderId="0" xfId="0" applyNumberFormat="1" applyFont="1" applyFill="1" applyBorder="1" applyAlignment="1">
      <x:alignment horizontal="center" vertical="center" wrapText="1"/>
    </x:xf>
    <x:xf numFmtId="200" fontId="14" fillId="15" borderId="15" xfId="0" applyNumberFormat="1" applyFont="1" applyFill="1" applyBorder="1" applyAlignment="1">
      <x:alignment horizontal="center" vertical="center" wrapText="1"/>
    </x:xf>
    <x:xf numFmtId="200" fontId="14" fillId="5" borderId="17" xfId="0" applyNumberFormat="1" applyFont="1" applyFill="1" applyBorder="1" applyAlignment="1">
      <x:alignment horizontal="center" vertical="center" wrapText="1"/>
    </x:xf>
    <x:xf numFmtId="200" fontId="14" fillId="5" borderId="2" xfId="0" applyNumberFormat="1" applyFont="1" applyFill="1" applyBorder="1" applyAlignment="1">
      <x:alignment horizontal="center" vertical="center" wrapText="1"/>
    </x:xf>
    <x:xf numFmtId="200" fontId="14" fillId="5" borderId="0" xfId="0" applyNumberFormat="1" applyFont="1" applyFill="1" applyBorder="1" applyAlignment="1">
      <x:alignment horizontal="center" vertical="center" wrapText="1"/>
    </x:xf>
    <x:xf numFmtId="200" fontId="14" fillId="5" borderId="15" xfId="0" applyNumberFormat="1" applyFont="1" applyFill="1" applyBorder="1" applyAlignment="1">
      <x:alignment horizontal="center" vertical="center" wrapText="1"/>
    </x:xf>
    <x:xf numFmtId="200" fontId="14" fillId="17" borderId="17" xfId="0" applyNumberFormat="1" applyFont="1" applyFill="1" applyBorder="1" applyAlignment="1">
      <x:alignment vertical="center" wrapText="1"/>
    </x:xf>
    <x:xf numFmtId="200" fontId="14" fillId="17" borderId="2" xfId="0" applyNumberFormat="1" applyFont="1" applyFill="1" applyBorder="1" applyAlignment="1">
      <x:alignment vertical="center" wrapText="1"/>
    </x:xf>
    <x:xf numFmtId="200" fontId="14" fillId="17" borderId="0" xfId="0" applyNumberFormat="1" applyFont="1" applyFill="1" applyBorder="1" applyAlignment="1">
      <x:alignment vertical="center" wrapText="1"/>
    </x:xf>
    <x:xf numFmtId="200" fontId="14" fillId="17" borderId="15" xfId="0" applyNumberFormat="1" applyFont="1" applyFill="1" applyBorder="1" applyAlignment="1">
      <x:alignment vertical="center" wrapText="1"/>
    </x:xf>
    <x:xf numFmtId="200" fontId="8" fillId="13" borderId="17" xfId="0" applyNumberFormat="1" applyFont="1" applyFill="1" applyBorder="1" applyAlignment="1">
      <x:alignment vertical="center" wrapText="1"/>
    </x:xf>
    <x:xf numFmtId="200" fontId="8" fillId="13" borderId="15" xfId="0" applyNumberFormat="1" applyFont="1" applyFill="1" applyBorder="1" applyAlignment="1">
      <x:alignment vertical="center" wrapText="1"/>
    </x:xf>
    <x:xf numFmtId="200" fontId="8" fillId="18" borderId="17" xfId="0" applyNumberFormat="1" applyFont="1" applyFill="1" applyBorder="1" applyAlignment="1">
      <x:alignment vertical="center" wrapText="1"/>
    </x:xf>
    <x:xf numFmtId="200" fontId="8" fillId="18" borderId="2" xfId="0" applyNumberFormat="1" applyFont="1" applyFill="1" applyBorder="1" applyAlignment="1">
      <x:alignment vertical="center" wrapText="1"/>
    </x:xf>
    <x:xf numFmtId="200" fontId="8" fillId="6" borderId="17" xfId="0" applyNumberFormat="1" applyFont="1" applyFill="1" applyBorder="1" applyAlignment="1">
      <x:alignment vertical="center" wrapText="1"/>
    </x:xf>
    <x:xf numFmtId="200" fontId="8" fillId="6" borderId="2" xfId="0" applyNumberFormat="1" applyFont="1" applyFill="1" applyBorder="1" applyAlignment="1">
      <x:alignment vertical="center" wrapText="1"/>
    </x:xf>
    <x:xf numFmtId="200" fontId="8" fillId="6" borderId="18" xfId="0" applyNumberFormat="1" applyFont="1" applyFill="1" applyBorder="1" applyAlignment="1">
      <x:alignment vertical="center" wrapText="1"/>
    </x:xf>
    <x:xf numFmtId="200" fontId="8" fillId="6" borderId="19" xfId="0" applyNumberFormat="1" applyFont="1" applyFill="1" applyBorder="1" applyAlignment="1">
      <x:alignment vertical="center" wrapText="1"/>
    </x:xf>
    <x:xf numFmtId="200" fontId="8" fillId="13" borderId="20" xfId="0" applyNumberFormat="1" applyFont="1" applyFill="1" applyBorder="1" applyAlignment="1">
      <x:alignment vertical="center" wrapText="1"/>
    </x:xf>
    <x:xf numFmtId="200" fontId="8" fillId="13" borderId="21" xfId="0" applyNumberFormat="1" applyFont="1" applyFill="1" applyBorder="1" applyAlignment="1">
      <x:alignment vertical="center" wrapText="1"/>
    </x:xf>
    <x:xf numFmtId="200" fontId="7" fillId="2" borderId="22" xfId="0" applyNumberFormat="1" applyFont="1" applyFill="1" applyBorder="1" applyAlignment="1">
      <x:alignment horizontal="center" vertical="center" wrapText="1"/>
    </x:xf>
    <x:xf numFmtId="200" fontId="7" fillId="2" borderId="23" xfId="0" applyNumberFormat="1" applyFont="1" applyFill="1" applyBorder="1" applyAlignment="1">
      <x:alignment horizontal="center" vertical="center" wrapText="1"/>
    </x:xf>
    <x:xf numFmtId="200" fontId="7" fillId="2" borderId="24" xfId="0" applyNumberFormat="1" applyFont="1" applyFill="1" applyBorder="1" applyAlignment="1">
      <x:alignment horizontal="center" vertical="center" wrapText="1"/>
    </x:xf>
    <x:xf numFmtId="200" fontId="15" fillId="2" borderId="25" xfId="0" applyNumberFormat="1" applyFont="1" applyFill="1" applyBorder="1" applyAlignment="1">
      <x:alignment horizontal="center" vertical="center" wrapText="1"/>
    </x:xf>
    <x:xf numFmtId="200" fontId="15" fillId="2" xfId="0" applyNumberFormat="1" applyFont="1" applyFill="1" applyBorder="0" applyAlignment="1">
      <x:alignment horizontal="center" vertical="center" wrapText="1"/>
    </x:xf>
    <x:xf numFmtId="200" fontId="7" fillId="2" xfId="0" applyNumberFormat="1" applyFont="1" applyFill="1" applyBorder="0" applyAlignment="1">
      <x:alignment horizontal="center" vertical="center" wrapText="1"/>
    </x:xf>
    <x:xf numFmtId="200" fontId="7" fillId="2" borderId="26" xfId="0" applyNumberFormat="1" applyFont="1" applyFill="1" applyBorder="1" applyAlignment="1">
      <x:alignment horizontal="center" vertical="center" wrapText="1"/>
    </x:xf>
    <x:xf numFmtId="200" fontId="7" fillId="2" borderId="25" xfId="0" applyNumberFormat="1" applyFont="1" applyFill="1" applyBorder="1" applyAlignment="1">
      <x:alignment horizontal="center" vertical="center" wrapText="1"/>
    </x:xf>
    <x:xf numFmtId="200" fontId="8" fillId="13" xfId="0" applyNumberFormat="1" applyFont="1" applyFill="1" applyBorder="0" applyAlignment="1">
      <x:alignment vertical="center" wrapText="1"/>
    </x:xf>
    <x:xf numFmtId="200" fontId="7" fillId="2" borderId="27" xfId="0" applyNumberFormat="1" applyFont="1" applyFill="1" applyBorder="1" applyAlignment="1">
      <x:alignment horizontal="center" vertical="center" wrapText="1"/>
    </x:xf>
    <x:xf numFmtId="200" fontId="7" fillId="2" borderId="28" xfId="0" applyNumberFormat="1" applyFont="1" applyFill="1" applyBorder="1" applyAlignment="1">
      <x:alignment horizontal="center" vertical="center" wrapText="1"/>
    </x:xf>
    <x:xf numFmtId="200" fontId="14" fillId="15" borderId="28" xfId="0" applyNumberFormat="1" applyFont="1" applyFill="1" applyBorder="1" applyAlignment="1">
      <x:alignment horizontal="center" vertical="center" wrapText="1"/>
    </x:xf>
    <x:xf numFmtId="200" fontId="14" fillId="15" xfId="0" applyNumberFormat="1" applyFont="1" applyFill="1" applyBorder="0" applyAlignment="1">
      <x:alignment horizontal="center" vertical="center" wrapText="1"/>
    </x:xf>
    <x:xf numFmtId="200" fontId="14" fillId="15" borderId="26" xfId="0" applyNumberFormat="1" applyFont="1" applyFill="1" applyBorder="1" applyAlignment="1">
      <x:alignment horizontal="center" vertical="center" wrapText="1"/>
    </x:xf>
    <x:xf numFmtId="200" fontId="14" fillId="5" borderId="28" xfId="0" applyNumberFormat="1" applyFont="1" applyFill="1" applyBorder="1" applyAlignment="1">
      <x:alignment horizontal="center" vertical="center" wrapText="1"/>
    </x:xf>
    <x:xf numFmtId="200" fontId="14" fillId="5" xfId="0" applyNumberFormat="1" applyFont="1" applyFill="1" applyBorder="0" applyAlignment="1">
      <x:alignment horizontal="center" vertical="center" wrapText="1"/>
    </x:xf>
    <x:xf numFmtId="200" fontId="14" fillId="5" borderId="26" xfId="0" applyNumberFormat="1" applyFont="1" applyFill="1" applyBorder="1" applyAlignment="1">
      <x:alignment horizontal="center" vertical="center" wrapText="1"/>
    </x:xf>
    <x:xf numFmtId="200" fontId="14" fillId="17" borderId="28" xfId="0" applyNumberFormat="1" applyFont="1" applyFill="1" applyBorder="1" applyAlignment="1">
      <x:alignment vertical="center" wrapText="1"/>
    </x:xf>
    <x:xf numFmtId="200" fontId="14" fillId="17" xfId="0" applyNumberFormat="1" applyFont="1" applyFill="1" applyBorder="0" applyAlignment="1">
      <x:alignment vertical="center" wrapText="1"/>
    </x:xf>
    <x:xf numFmtId="200" fontId="14" fillId="17" borderId="26" xfId="0" applyNumberFormat="1" applyFont="1" applyFill="1" applyBorder="1" applyAlignment="1">
      <x:alignment vertical="center" wrapText="1"/>
    </x:xf>
    <x:xf numFmtId="200" fontId="8" fillId="13" borderId="28" xfId="0" applyNumberFormat="1" applyFont="1" applyFill="1" applyBorder="1" applyAlignment="1">
      <x:alignment vertical="center" wrapText="1"/>
    </x:xf>
    <x:xf numFmtId="200" fontId="8" fillId="13" borderId="26" xfId="0" applyNumberFormat="1" applyFont="1" applyFill="1" applyBorder="1" applyAlignment="1">
      <x:alignment vertical="center" wrapText="1"/>
    </x:xf>
    <x:xf numFmtId="200" fontId="8" fillId="18" borderId="28" xfId="0" applyNumberFormat="1" applyFont="1" applyFill="1" applyBorder="1" applyAlignment="1">
      <x:alignment vertical="center" wrapText="1"/>
    </x:xf>
    <x:xf numFmtId="200" fontId="8" fillId="6" borderId="28" xfId="0" applyNumberFormat="1" applyFont="1" applyFill="1" applyBorder="1" applyAlignment="1">
      <x:alignment vertical="center" wrapText="1"/>
    </x:xf>
    <x:xf numFmtId="200" fontId="8" fillId="6" borderId="29" xfId="0" applyNumberFormat="1" applyFont="1" applyFill="1" applyBorder="1" applyAlignment="1">
      <x:alignment vertical="center" wrapText="1"/>
    </x:xf>
    <x:xf numFmtId="200" fontId="8" fillId="6" borderId="30" xfId="0" applyNumberFormat="1" applyFont="1" applyFill="1" applyBorder="1" applyAlignment="1">
      <x:alignment vertical="center" wrapText="1"/>
    </x:xf>
    <x:xf numFmtId="200" fontId="8" fillId="13" borderId="31" xfId="0" applyNumberFormat="1" applyFont="1" applyFill="1" applyBorder="1" applyAlignment="1">
      <x:alignment vertical="center" wrapText="1"/>
    </x:xf>
    <x:xf numFmtId="200" fontId="8" fillId="13" borderId="32" xfId="0" applyNumberFormat="1" applyFont="1" applyFill="1" applyBorder="1" applyAlignment="1">
      <x:alignment vertical="center" wrapText="1"/>
    </x:xf>
    <x:xf numFmtId="200" fontId="7" fillId="20" borderId="22" xfId="0" applyNumberFormat="1" applyFont="1" applyFill="1" applyBorder="1" applyAlignment="1">
      <x:alignment horizontal="center" vertical="center" wrapText="1"/>
    </x:xf>
    <x:xf numFmtId="200" fontId="7" fillId="20" borderId="23" xfId="0" applyNumberFormat="1" applyFont="1" applyFill="1" applyBorder="1" applyAlignment="1">
      <x:alignment horizontal="center" vertical="center" wrapText="1"/>
    </x:xf>
    <x:xf numFmtId="200" fontId="7" fillId="20" borderId="24" xfId="0" applyNumberFormat="1" applyFont="1" applyFill="1" applyBorder="1" applyAlignment="1">
      <x:alignment horizontal="center" vertical="center" wrapText="1"/>
    </x:xf>
    <x:xf numFmtId="200" fontId="15" fillId="20" borderId="25" xfId="0" applyNumberFormat="1" applyFont="1" applyFill="1" applyBorder="1" applyAlignment="1">
      <x:alignment horizontal="center" vertical="center" wrapText="1"/>
    </x:xf>
    <x:xf numFmtId="200" fontId="15" fillId="20" xfId="0" applyNumberFormat="1" applyFont="1" applyFill="1" applyBorder="0" applyAlignment="1">
      <x:alignment horizontal="center" vertical="center" wrapText="1"/>
    </x:xf>
    <x:xf numFmtId="200" fontId="7" fillId="20" xfId="0" applyNumberFormat="1" applyFont="1" applyFill="1" applyBorder="0" applyAlignment="1">
      <x:alignment horizontal="center" vertical="center" wrapText="1"/>
    </x:xf>
    <x:xf numFmtId="200" fontId="7" fillId="20" borderId="26" xfId="0" applyNumberFormat="1" applyFont="1" applyFill="1" applyBorder="1" applyAlignment="1">
      <x:alignment horizontal="center" vertical="center" wrapText="1"/>
    </x:xf>
    <x:xf numFmtId="200" fontId="7" fillId="20" borderId="25" xfId="0" applyNumberFormat="1" applyFont="1" applyFill="1" applyBorder="1" applyAlignment="1">
      <x:alignment horizontal="center" vertical="center" wrapText="1"/>
    </x:xf>
    <x:xf numFmtId="200" fontId="8" fillId="20" xfId="0" applyNumberFormat="1" applyFont="1" applyFill="1" applyBorder="0" applyAlignment="1">
      <x:alignment vertical="center" wrapText="1"/>
    </x:xf>
    <x:xf numFmtId="200" fontId="7" fillId="20" borderId="27" xfId="0" applyNumberFormat="1" applyFont="1" applyFill="1" applyBorder="1" applyAlignment="1">
      <x:alignment horizontal="center" vertical="center" wrapText="1"/>
    </x:xf>
    <x:xf numFmtId="200" fontId="7" fillId="20" borderId="1" xfId="0" applyNumberFormat="1" applyFont="1" applyFill="1" applyBorder="1" applyAlignment="1">
      <x:alignment horizontal="center" vertical="center" wrapText="1"/>
    </x:xf>
    <x:xf numFmtId="200" fontId="7" fillId="20" borderId="28" xfId="0" applyNumberFormat="1" applyFont="1" applyFill="1" applyBorder="1" applyAlignment="1">
      <x:alignment horizontal="center" vertical="center" wrapText="1"/>
    </x:xf>
    <x:xf numFmtId="200" fontId="7" fillId="20" borderId="2" xfId="0" applyNumberFormat="1" applyFont="1" applyFill="1" applyBorder="1" applyAlignment="1">
      <x:alignment horizontal="center" vertical="center" wrapText="1"/>
    </x:xf>
    <x:xf numFmtId="200" fontId="8" fillId="20" borderId="2" xfId="0" applyNumberFormat="1" applyFont="1" applyFill="1" applyBorder="1" applyAlignment="1">
      <x:alignment vertical="center" wrapText="1"/>
    </x:xf>
    <x:xf numFmtId="200" fontId="14" fillId="20" borderId="28" xfId="0" applyNumberFormat="1" applyFont="1" applyFill="1" applyBorder="1" applyAlignment="1">
      <x:alignment horizontal="center" vertical="center" wrapText="1"/>
    </x:xf>
    <x:xf numFmtId="200" fontId="14" fillId="20" borderId="2" xfId="0" applyNumberFormat="1" applyFont="1" applyFill="1" applyBorder="1" applyAlignment="1">
      <x:alignment horizontal="center" vertical="center" wrapText="1"/>
    </x:xf>
    <x:xf numFmtId="200" fontId="14" fillId="20" xfId="0" applyNumberFormat="1" applyFont="1" applyFill="1" applyBorder="0" applyAlignment="1">
      <x:alignment horizontal="center" vertical="center" wrapText="1"/>
    </x:xf>
    <x:xf numFmtId="200" fontId="14" fillId="20" borderId="26" xfId="0" applyNumberFormat="1" applyFont="1" applyFill="1" applyBorder="1" applyAlignment="1">
      <x:alignment horizontal="center" vertical="center" wrapText="1"/>
    </x:xf>
    <x:xf numFmtId="200" fontId="14" fillId="20" borderId="28" xfId="0" applyNumberFormat="1" applyFont="1" applyFill="1" applyBorder="1" applyAlignment="1">
      <x:alignment vertical="center" wrapText="1"/>
    </x:xf>
    <x:xf numFmtId="200" fontId="14" fillId="20" borderId="2" xfId="0" applyNumberFormat="1" applyFont="1" applyFill="1" applyBorder="1" applyAlignment="1">
      <x:alignment vertical="center" wrapText="1"/>
    </x:xf>
    <x:xf numFmtId="200" fontId="14" fillId="20" xfId="0" applyNumberFormat="1" applyFont="1" applyFill="1" applyBorder="0" applyAlignment="1">
      <x:alignment vertical="center" wrapText="1"/>
    </x:xf>
    <x:xf numFmtId="200" fontId="14" fillId="20" borderId="26" xfId="0" applyNumberFormat="1" applyFont="1" applyFill="1" applyBorder="1" applyAlignment="1">
      <x:alignment vertical="center" wrapText="1"/>
    </x:xf>
    <x:xf numFmtId="200" fontId="8" fillId="20" borderId="28" xfId="0" applyNumberFormat="1" applyFont="1" applyFill="1" applyBorder="1" applyAlignment="1">
      <x:alignment vertical="center" wrapText="1"/>
    </x:xf>
    <x:xf numFmtId="200" fontId="8" fillId="20" borderId="26" xfId="0" applyNumberFormat="1" applyFont="1" applyFill="1" applyBorder="1" applyAlignment="1">
      <x:alignment vertical="center" wrapText="1"/>
    </x:xf>
    <x:xf numFmtId="200" fontId="8" fillId="20" borderId="29" xfId="0" applyNumberFormat="1" applyFont="1" applyFill="1" applyBorder="1" applyAlignment="1">
      <x:alignment vertical="center" wrapText="1"/>
    </x:xf>
    <x:xf numFmtId="200" fontId="8" fillId="20" borderId="30" xfId="0" applyNumberFormat="1" applyFont="1" applyFill="1" applyBorder="1" applyAlignment="1">
      <x:alignment vertical="center" wrapText="1"/>
    </x:xf>
    <x:xf numFmtId="200" fontId="8" fillId="20" borderId="31" xfId="0" applyNumberFormat="1" applyFont="1" applyFill="1" applyBorder="1" applyAlignment="1">
      <x:alignment vertical="center" wrapText="1"/>
    </x:xf>
    <x:xf numFmtId="200" fontId="8" fillId="20" borderId="32" xfId="0" applyNumberFormat="1" applyFont="1" applyFill="1" applyBorder="1" applyAlignment="1">
      <x:alignment vertical="center" wrapText="1"/>
    </x:xf>
    <x:xf numFmtId="200" fontId="7" fillId="21" borderId="22" xfId="0" applyNumberFormat="1" applyFont="1" applyFill="1" applyBorder="1" applyAlignment="1">
      <x:alignment horizontal="center" vertical="center" wrapText="1"/>
    </x:xf>
    <x:xf numFmtId="200" fontId="7" fillId="21" borderId="23" xfId="0" applyNumberFormat="1" applyFont="1" applyFill="1" applyBorder="1" applyAlignment="1">
      <x:alignment horizontal="center" vertical="center" wrapText="1"/>
    </x:xf>
    <x:xf numFmtId="200" fontId="7" fillId="21" borderId="24" xfId="0" applyNumberFormat="1" applyFont="1" applyFill="1" applyBorder="1" applyAlignment="1">
      <x:alignment horizontal="center" vertical="center" wrapText="1"/>
    </x:xf>
    <x:xf numFmtId="200" fontId="15" fillId="21" borderId="25" xfId="0" applyNumberFormat="1" applyFont="1" applyFill="1" applyBorder="1" applyAlignment="1">
      <x:alignment horizontal="center" vertical="center" wrapText="1"/>
    </x:xf>
    <x:xf numFmtId="200" fontId="15" fillId="21" xfId="0" applyNumberFormat="1" applyFont="1" applyFill="1" applyBorder="0" applyAlignment="1">
      <x:alignment horizontal="center" vertical="center" wrapText="1"/>
    </x:xf>
    <x:xf numFmtId="200" fontId="7" fillId="21" xfId="0" applyNumberFormat="1" applyFont="1" applyFill="1" applyBorder="0" applyAlignment="1">
      <x:alignment horizontal="center" vertical="center" wrapText="1"/>
    </x:xf>
    <x:xf numFmtId="200" fontId="7" fillId="21" borderId="26" xfId="0" applyNumberFormat="1" applyFont="1" applyFill="1" applyBorder="1" applyAlignment="1">
      <x:alignment horizontal="center" vertical="center" wrapText="1"/>
    </x:xf>
    <x:xf numFmtId="200" fontId="10" fillId="21" borderId="22" xfId="0" applyNumberFormat="1" applyFont="1" applyFill="1" applyBorder="1" applyAlignment="1">
      <x:alignment horizontal="center" vertical="center" wrapText="1"/>
    </x:xf>
    <x:xf numFmtId="200" fontId="10" fillId="21" borderId="23" xfId="0" applyNumberFormat="1" applyFont="1" applyFill="1" applyBorder="1" applyAlignment="1">
      <x:alignment horizontal="center" vertical="center" wrapText="1"/>
    </x:xf>
    <x:xf numFmtId="200" fontId="10" fillId="21" borderId="24" xfId="0" applyNumberFormat="1" applyFont="1" applyFill="1" applyBorder="1" applyAlignment="1">
      <x:alignment horizontal="center" vertical="center" wrapText="1"/>
    </x:xf>
    <x:xf numFmtId="200" fontId="11" fillId="21" borderId="25" xfId="0" applyNumberFormat="1" applyFont="1" applyFill="1" applyBorder="1" applyAlignment="1">
      <x:alignment horizontal="center" vertical="center" wrapText="1"/>
    </x:xf>
    <x:xf numFmtId="200" fontId="11" fillId="21" xfId="0" applyNumberFormat="1" applyFont="1" applyFill="1" applyBorder="0" applyAlignment="1">
      <x:alignment horizontal="center" vertical="center" wrapText="1"/>
    </x:xf>
    <x:xf numFmtId="200" fontId="10" fillId="21" xfId="0" applyNumberFormat="1" applyFont="1" applyFill="1" applyBorder="0" applyAlignment="1">
      <x:alignment horizontal="center" vertical="center" wrapText="1"/>
    </x:xf>
    <x:xf numFmtId="200" fontId="10" fillId="21" borderId="26" xfId="0" applyNumberFormat="1" applyFont="1" applyFill="1" applyBorder="1" applyAlignment="1">
      <x:alignment horizontal="center" vertical="center" wrapText="1"/>
    </x:xf>
    <x:xf numFmtId="200" fontId="7" fillId="21" borderId="25" xfId="0" applyNumberFormat="1" applyFont="1" applyFill="1" applyBorder="1" applyAlignment="1">
      <x:alignment horizontal="center" vertical="center" wrapText="1"/>
    </x:xf>
    <x:xf numFmtId="200" fontId="7" fillId="21" borderId="27" xfId="0" applyNumberFormat="1" applyFont="1" applyFill="1" applyBorder="1" applyAlignment="1">
      <x:alignment horizontal="center" vertical="center" wrapText="1"/>
    </x:xf>
    <x:xf numFmtId="200" fontId="7" fillId="21" borderId="1" xfId="0" applyNumberFormat="1" applyFont="1" applyFill="1" applyBorder="1" applyAlignment="1">
      <x:alignment horizontal="center" vertical="center" wrapText="1"/>
    </x:xf>
    <x:xf numFmtId="200" fontId="7" fillId="21" borderId="28" xfId="0" applyNumberFormat="1" applyFont="1" applyFill="1" applyBorder="1" applyAlignment="1">
      <x:alignment horizontal="center" vertical="center" wrapText="1"/>
    </x:xf>
    <x:xf numFmtId="200" fontId="7" fillId="21" borderId="2" xfId="0" applyNumberFormat="1" applyFont="1" applyFill="1" applyBorder="1" applyAlignment="1">
      <x:alignment horizontal="center" vertical="center" wrapText="1"/>
    </x:xf>
    <x:xf numFmtId="200" fontId="10" fillId="21" borderId="25" xfId="0" applyNumberFormat="1" applyFont="1" applyFill="1" applyBorder="1" applyAlignment="1">
      <x:alignment horizontal="center" vertical="center" wrapText="1"/>
    </x:xf>
    <x:xf numFmtId="200" fontId="10" fillId="21" borderId="27" xfId="0" applyNumberFormat="1" applyFont="1" applyFill="1" applyBorder="1" applyAlignment="1">
      <x:alignment horizontal="center" vertical="center" wrapText="1"/>
    </x:xf>
    <x:xf numFmtId="200" fontId="10" fillId="21" borderId="1" xfId="0" applyNumberFormat="1" applyFont="1" applyFill="1" applyBorder="1" applyAlignment="1">
      <x:alignment horizontal="center" vertical="center" wrapText="1"/>
    </x:xf>
    <x:xf numFmtId="200" fontId="10" fillId="21" borderId="28" xfId="0" applyNumberFormat="1" applyFont="1" applyFill="1" applyBorder="1" applyAlignment="1">
      <x:alignment horizontal="center" vertical="center" wrapText="1"/>
    </x:xf>
    <x:xf numFmtId="200" fontId="10" fillId="21" borderId="2" xfId="0" applyNumberFormat="1" applyFont="1" applyFill="1" applyBorder="1" applyAlignment="1">
      <x:alignment horizontal="center" vertical="center" wrapText="1"/>
    </x:xf>
    <x:xf numFmtId="200" fontId="14" fillId="22" borderId="28" xfId="0" applyNumberFormat="1" applyFont="1" applyFill="1" applyBorder="1" applyAlignment="1">
      <x:alignment horizontal="center" vertical="center" wrapText="1"/>
    </x:xf>
    <x:xf numFmtId="200" fontId="14" fillId="22" borderId="2" xfId="0" applyNumberFormat="1" applyFont="1" applyFill="1" applyBorder="1" applyAlignment="1">
      <x:alignment horizontal="center" vertical="center" wrapText="1"/>
    </x:xf>
    <x:xf numFmtId="200" fontId="14" fillId="22" xfId="0" applyNumberFormat="1" applyFont="1" applyFill="1" applyBorder="0" applyAlignment="1">
      <x:alignment horizontal="center" vertical="center" wrapText="1"/>
    </x:xf>
    <x:xf numFmtId="200" fontId="14" fillId="22" borderId="26" xfId="0" applyNumberFormat="1" applyFont="1" applyFill="1" applyBorder="1" applyAlignment="1">
      <x:alignment horizontal="center" vertical="center" wrapText="1"/>
    </x:xf>
    <x:xf numFmtId="200" fontId="12" fillId="22" borderId="28" xfId="0" applyNumberFormat="1" applyFont="1" applyFill="1" applyBorder="1" applyAlignment="1">
      <x:alignment horizontal="center" vertical="center" wrapText="1"/>
    </x:xf>
    <x:xf numFmtId="200" fontId="12" fillId="22" borderId="2" xfId="0" applyNumberFormat="1" applyFont="1" applyFill="1" applyBorder="1" applyAlignment="1">
      <x:alignment horizontal="center" vertical="center" wrapText="1"/>
    </x:xf>
    <x:xf numFmtId="200" fontId="12" fillId="22" xfId="0" applyNumberFormat="1" applyFont="1" applyFill="1" applyBorder="0" applyAlignment="1">
      <x:alignment horizontal="center" vertical="center" wrapText="1"/>
    </x:xf>
    <x:xf numFmtId="200" fontId="12" fillId="22" borderId="26" xfId="0" applyNumberFormat="1" applyFont="1" applyFill="1" applyBorder="1" applyAlignment="1">
      <x:alignment horizontal="center" vertical="center" wrapText="1"/>
    </x:xf>
    <x:xf numFmtId="200" fontId="14" fillId="23" borderId="28" xfId="0" applyNumberFormat="1" applyFont="1" applyFill="1" applyBorder="1" applyAlignment="1">
      <x:alignment horizontal="center" vertical="center" wrapText="1"/>
    </x:xf>
    <x:xf numFmtId="200" fontId="14" fillId="23" borderId="2" xfId="0" applyNumberFormat="1" applyFont="1" applyFill="1" applyBorder="1" applyAlignment="1">
      <x:alignment horizontal="center" vertical="center" wrapText="1"/>
    </x:xf>
    <x:xf numFmtId="200" fontId="14" fillId="23" xfId="0" applyNumberFormat="1" applyFont="1" applyFill="1" applyBorder="0" applyAlignment="1">
      <x:alignment horizontal="center" vertical="center" wrapText="1"/>
    </x:xf>
    <x:xf numFmtId="200" fontId="14" fillId="23" borderId="26" xfId="0" applyNumberFormat="1" applyFont="1" applyFill="1" applyBorder="1" applyAlignment="1">
      <x:alignment horizontal="center" vertical="center" wrapText="1"/>
    </x:xf>
    <x:xf numFmtId="200" fontId="13" fillId="23" borderId="28" xfId="0" applyNumberFormat="1" applyFont="1" applyFill="1" applyBorder="1" applyAlignment="1">
      <x:alignment horizontal="center" vertical="center" wrapText="1"/>
    </x:xf>
    <x:xf numFmtId="200" fontId="13" fillId="23" borderId="2" xfId="0" applyNumberFormat="1" applyFont="1" applyFill="1" applyBorder="1" applyAlignment="1">
      <x:alignment horizontal="center" vertical="center" wrapText="1"/>
    </x:xf>
    <x:xf numFmtId="200" fontId="13" fillId="23" xfId="0" applyNumberFormat="1" applyFont="1" applyFill="1" applyBorder="0" applyAlignment="1">
      <x:alignment horizontal="center" vertical="center" wrapText="1"/>
    </x:xf>
    <x:xf numFmtId="200" fontId="13" fillId="23" borderId="26" xfId="0" applyNumberFormat="1" applyFont="1" applyFill="1" applyBorder="1" applyAlignment="1">
      <x:alignment horizontal="center" vertical="center" wrapText="1"/>
    </x:xf>
    <x:xf numFmtId="200" fontId="14" fillId="24" borderId="28" xfId="0" applyNumberFormat="1" applyFont="1" applyFill="1" applyBorder="1" applyAlignment="1">
      <x:alignment vertical="center" wrapText="1"/>
    </x:xf>
    <x:xf numFmtId="200" fontId="14" fillId="24" borderId="2" xfId="0" applyNumberFormat="1" applyFont="1" applyFill="1" applyBorder="1" applyAlignment="1">
      <x:alignment vertical="center" wrapText="1"/>
    </x:xf>
    <x:xf numFmtId="200" fontId="14" fillId="24" xfId="0" applyNumberFormat="1" applyFont="1" applyFill="1" applyBorder="0" applyAlignment="1">
      <x:alignment vertical="center" wrapText="1"/>
    </x:xf>
    <x:xf numFmtId="200" fontId="14" fillId="24" borderId="26" xfId="0" applyNumberFormat="1" applyFont="1" applyFill="1" applyBorder="1" applyAlignment="1">
      <x:alignment vertical="center" wrapText="1"/>
    </x:xf>
    <x:xf numFmtId="200" fontId="8" fillId="25" borderId="28" xfId="0" applyNumberFormat="1" applyFont="1" applyFill="1" applyBorder="1" applyAlignment="1">
      <x:alignment vertical="center" wrapText="1"/>
    </x:xf>
    <x:xf numFmtId="200" fontId="8" fillId="25" borderId="2" xfId="0" applyNumberFormat="1" applyFont="1" applyFill="1" applyBorder="1" applyAlignment="1">
      <x:alignment vertical="center" wrapText="1"/>
    </x:xf>
    <x:xf numFmtId="200" fontId="8" fillId="26" borderId="28" xfId="0" applyNumberFormat="1" applyFont="1" applyFill="1" applyBorder="1" applyAlignment="1">
      <x:alignment vertical="center" wrapText="1"/>
    </x:xf>
    <x:xf numFmtId="200" fontId="8" fillId="26" borderId="2" xfId="0" applyNumberFormat="1" applyFont="1" applyFill="1" applyBorder="1" applyAlignment="1">
      <x:alignment vertical="center" wrapText="1"/>
    </x:xf>
    <x:xf numFmtId="200" fontId="8" fillId="26" borderId="29" xfId="0" applyNumberFormat="1" applyFont="1" applyFill="1" applyBorder="1" applyAlignment="1">
      <x:alignment vertical="center" wrapText="1"/>
    </x:xf>
    <x:xf numFmtId="200" fontId="8" fillId="26" borderId="3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vertical="center" wrapText="1"/>
    </x:xf>
    <x:xf numFmtId="0" fontId="16" fillId="27" borderId="0" xfId="0" applyNumberFormat="1" applyFont="1" applyFill="1" applyBorder="1" applyAlignment="1">
      <x:alignment vertical="center" wrapText="1"/>
    </x:xf>
    <x:xf numFmtId="0" fontId="16" fillId="27" borderId="33" xfId="0" applyNumberFormat="1" applyFont="1" applyFill="1" applyBorder="1" applyAlignment="1">
      <x:alignment vertical="center" wrapText="1"/>
    </x:xf>
    <x:xf numFmtId="0" fontId="16" fillId="28" borderId="33" xfId="0" applyNumberFormat="1" applyFont="1" applyFill="1" applyBorder="1" applyAlignment="1">
      <x:alignment vertical="center" wrapText="1"/>
    </x:xf>
    <x:xf numFmtId="0" fontId="17" fillId="28" borderId="33" xfId="0" applyNumberFormat="1" applyFont="1" applyFill="1" applyBorder="1" applyAlignment="1">
      <x:alignment vertical="center" wrapText="1"/>
    </x:xf>
    <x:xf numFmtId="0" fontId="17" fillId="28" borderId="33" xfId="0" applyNumberFormat="1" applyFont="1" applyFill="1" applyBorder="1" applyAlignment="1">
      <x:alignment horizontal="center" vertical="center" wrapText="1"/>
    </x:xf>
    <x:xf numFmtId="0" fontId="16" fillId="29" borderId="33" xfId="0" applyNumberFormat="1" applyFont="1" applyFill="1" applyBorder="1" applyAlignment="1">
      <x:alignment vertical="center" wrapText="1"/>
    </x:xf>
    <x:xf numFmtId="0" fontId="12" fillId="29" borderId="33" xfId="0" applyNumberFormat="1" applyFont="1" applyFill="1" applyBorder="1" applyAlignment="1">
      <x:alignment vertical="center" wrapText="1"/>
    </x:xf>
    <x:xf numFmtId="0" fontId="16" fillId="30" borderId="33" xfId="0" applyNumberFormat="1" applyFont="1" applyFill="1" applyBorder="1" applyAlignment="1">
      <x:alignment vertical="center" wrapText="1"/>
    </x:xf>
    <x:xf numFmtId="0" fontId="18" fillId="30" borderId="33" xfId="0" applyNumberFormat="1" applyFont="1" applyFill="1" applyBorder="1" applyAlignment="1">
      <x:alignment vertical="center" wrapText="1"/>
    </x:xf>
    <x:xf numFmtId="0" fontId="18" fillId="30" borderId="33" xfId="0" applyNumberFormat="1" applyFont="1" applyFill="1" applyBorder="1" applyAlignment="1">
      <x:alignment horizontal="center" vertical="center" wrapText="1"/>
    </x:xf>
    <x:xf numFmtId="0" fontId="16" fillId="31" borderId="33" xfId="0" applyNumberFormat="1" applyFont="1" applyFill="1" applyBorder="1" applyAlignment="1">
      <x:alignment vertical="center" wrapText="1"/>
    </x:xf>
    <x:xf numFmtId="0" fontId="14" fillId="31" borderId="33" xfId="0" applyNumberFormat="1" applyFont="1" applyFill="1" applyBorder="1" applyAlignment="1">
      <x:alignment vertical="center" wrapText="1"/>
    </x:xf>
    <x:xf numFmtId="0" fontId="10" fillId="28" borderId="33" xfId="0" applyNumberFormat="1" applyFont="1" applyFill="1" applyBorder="1" applyAlignment="1">
      <x:alignment vertical="center" wrapText="1"/>
    </x:xf>
    <x:xf numFmtId="0" fontId="16" fillId="32" borderId="33" xfId="0" applyNumberFormat="1" applyFont="1" applyFill="1" applyBorder="1" applyAlignment="1">
      <x:alignment vertical="center" wrapText="1"/>
    </x:xf>
    <x:xf numFmtId="0" fontId="7" fillId="32" borderId="33" xfId="0" applyNumberFormat="1" applyFont="1" applyFill="1" applyBorder="1" applyAlignment="1">
      <x:alignment vertical="center" wrapText="1"/>
    </x:xf>
    <x:xf numFmtId="0" fontId="16" fillId="33" borderId="33" xfId="0" applyNumberFormat="1" applyFont="1" applyFill="1" applyBorder="1" applyAlignment="1">
      <x:alignment vertical="center" wrapText="1"/>
    </x:xf>
    <x:xf numFmtId="0" fontId="16" fillId="34" borderId="0" xfId="0" applyNumberFormat="1" applyFont="1" applyFill="1" applyBorder="1" applyAlignment="1">
      <x:alignment vertical="center" wrapText="1"/>
    </x:xf>
    <x:xf numFmtId="0" fontId="16" fillId="34" borderId="33" xfId="0" applyNumberFormat="1" applyFont="1" applyFill="1" applyBorder="1" applyAlignment="1">
      <x:alignment vertical="center" wrapText="1"/>
    </x:xf>
    <x:xf numFmtId="0" fontId="16" fillId="35" borderId="33" xfId="0" applyNumberFormat="1" applyFont="1" applyFill="1" applyBorder="1" applyAlignment="1">
      <x:alignment vertical="center" wrapText="1"/>
    </x:xf>
    <x:xf numFmtId="0" fontId="17" fillId="35" borderId="33" xfId="0" applyNumberFormat="1" applyFont="1" applyFill="1" applyBorder="1" applyAlignment="1">
      <x:alignment vertical="center" wrapText="1"/>
    </x:xf>
    <x:xf numFmtId="0" fontId="17" fillId="35" borderId="33" xfId="0" applyNumberFormat="1" applyFont="1" applyFill="1" applyBorder="1" applyAlignment="1">
      <x:alignment horizontal="center" vertical="center" wrapText="1"/>
    </x:xf>
    <x:xf numFmtId="0" fontId="16" fillId="36" borderId="33" xfId="0" applyNumberFormat="1" applyFont="1" applyFill="1" applyBorder="1" applyAlignment="1">
      <x:alignment vertical="center" wrapText="1"/>
    </x:xf>
    <x:xf numFmtId="0" fontId="12" fillId="36" borderId="33" xfId="0" applyNumberFormat="1" applyFont="1" applyFill="1" applyBorder="1" applyAlignment="1">
      <x:alignment vertical="center" wrapText="1"/>
    </x:xf>
    <x:xf numFmtId="0" fontId="16" fillId="37" borderId="33" xfId="0" applyNumberFormat="1" applyFont="1" applyFill="1" applyBorder="1" applyAlignment="1">
      <x:alignment vertical="center" wrapText="1"/>
    </x:xf>
    <x:xf numFmtId="0" fontId="18" fillId="37" borderId="33" xfId="0" applyNumberFormat="1" applyFont="1" applyFill="1" applyBorder="1" applyAlignment="1">
      <x:alignment vertical="center" wrapText="1"/>
    </x:xf>
    <x:xf numFmtId="0" fontId="18" fillId="37" borderId="33" xfId="0" applyNumberFormat="1" applyFont="1" applyFill="1" applyBorder="1" applyAlignment="1">
      <x:alignment horizontal="center" vertical="center" wrapText="1"/>
    </x:xf>
    <x:xf numFmtId="0" fontId="16" fillId="38" borderId="33" xfId="0" applyNumberFormat="1" applyFont="1" applyFill="1" applyBorder="1" applyAlignment="1">
      <x:alignment vertical="center" wrapText="1"/>
    </x:xf>
    <x:xf numFmtId="0" fontId="14" fillId="38" borderId="33" xfId="0" applyNumberFormat="1" applyFont="1" applyFill="1" applyBorder="1" applyAlignment="1">
      <x:alignment vertical="center" wrapText="1"/>
    </x:xf>
    <x:xf numFmtId="0" fontId="10" fillId="35" borderId="33" xfId="0" applyNumberFormat="1" applyFont="1" applyFill="1" applyBorder="1" applyAlignment="1">
      <x:alignment vertical="center" wrapText="1"/>
    </x:xf>
    <x:xf numFmtId="0" fontId="16" fillId="39" borderId="33" xfId="0" applyNumberFormat="1" applyFont="1" applyFill="1" applyBorder="1" applyAlignment="1">
      <x:alignment vertical="center" wrapText="1"/>
    </x:xf>
    <x:xf numFmtId="0" fontId="7" fillId="39" borderId="33" xfId="0" applyNumberFormat="1" applyFont="1" applyFill="1" applyBorder="1" applyAlignment="1">
      <x:alignment vertical="center" wrapText="1"/>
    </x:xf>
    <x:xf numFmtId="0" fontId="16" fillId="40" borderId="33" xfId="0" applyNumberFormat="1" applyFont="1" applyFill="1" applyBorder="1" applyAlignment="1">
      <x:alignment vertical="center" wrapText="1"/>
    </x:xf>
    <x:xf numFmtId="0" fontId="16" fillId="41" borderId="0" xfId="0" applyNumberFormat="1" applyFont="1" applyFill="1" applyBorder="1" applyAlignment="1">
      <x:alignment vertical="center" wrapText="1"/>
    </x:xf>
    <x:xf numFmtId="0" fontId="16" fillId="41" borderId="33" xfId="0" applyNumberFormat="1" applyFont="1" applyFill="1" applyBorder="1" applyAlignment="1">
      <x:alignment vertical="center" wrapText="1"/>
    </x:xf>
    <x:xf numFmtId="0" fontId="16" fillId="42" borderId="33" xfId="0" applyNumberFormat="1" applyFont="1" applyFill="1" applyBorder="1" applyAlignment="1">
      <x:alignment vertical="center" wrapText="1"/>
    </x:xf>
    <x:xf numFmtId="0" fontId="17" fillId="42" borderId="33" xfId="0" applyNumberFormat="1" applyFont="1" applyFill="1" applyBorder="1" applyAlignment="1">
      <x:alignment vertical="center" wrapText="1"/>
    </x:xf>
    <x:xf numFmtId="0" fontId="17" fillId="42" borderId="33" xfId="0" applyNumberFormat="1" applyFont="1" applyFill="1" applyBorder="1" applyAlignment="1">
      <x:alignment horizontal="center" vertical="center" wrapText="1"/>
    </x:xf>
    <x:xf numFmtId="0" fontId="16" fillId="43" borderId="33" xfId="0" applyNumberFormat="1" applyFont="1" applyFill="1" applyBorder="1" applyAlignment="1">
      <x:alignment vertical="center" wrapText="1"/>
    </x:xf>
    <x:xf numFmtId="0" fontId="12" fillId="43" borderId="33" xfId="0" applyNumberFormat="1" applyFont="1" applyFill="1" applyBorder="1" applyAlignment="1">
      <x:alignment vertical="center" wrapText="1"/>
    </x:xf>
    <x:xf numFmtId="0" fontId="16" fillId="44" borderId="33" xfId="0" applyNumberFormat="1" applyFont="1" applyFill="1" applyBorder="1" applyAlignment="1">
      <x:alignment vertical="center" wrapText="1"/>
    </x:xf>
    <x:xf numFmtId="0" fontId="18" fillId="44" borderId="33" xfId="0" applyNumberFormat="1" applyFont="1" applyFill="1" applyBorder="1" applyAlignment="1">
      <x:alignment vertical="center" wrapText="1"/>
    </x:xf>
    <x:xf numFmtId="0" fontId="18" fillId="44" borderId="33" xfId="0" applyNumberFormat="1" applyFont="1" applyFill="1" applyBorder="1" applyAlignment="1">
      <x:alignment horizontal="center" vertical="center" wrapText="1"/>
    </x:xf>
    <x:xf numFmtId="0" fontId="16" fillId="45" borderId="33" xfId="0" applyNumberFormat="1" applyFont="1" applyFill="1" applyBorder="1" applyAlignment="1">
      <x:alignment vertical="center" wrapText="1"/>
    </x:xf>
    <x:xf numFmtId="0" fontId="14" fillId="45" borderId="33" xfId="0" applyNumberFormat="1" applyFont="1" applyFill="1" applyBorder="1" applyAlignment="1">
      <x:alignment vertical="center" wrapText="1"/>
    </x:xf>
    <x:xf numFmtId="0" fontId="10" fillId="42" borderId="33" xfId="0" applyNumberFormat="1" applyFont="1" applyFill="1" applyBorder="1" applyAlignment="1">
      <x:alignment vertical="center" wrapText="1"/>
    </x:xf>
    <x:xf numFmtId="0" fontId="16" fillId="46" borderId="33" xfId="0" applyNumberFormat="1" applyFont="1" applyFill="1" applyBorder="1" applyAlignment="1">
      <x:alignment vertical="center" wrapText="1"/>
    </x:xf>
    <x:xf numFmtId="0" fontId="7" fillId="46" borderId="33" xfId="0" applyNumberFormat="1" applyFont="1" applyFill="1" applyBorder="1" applyAlignment="1">
      <x:alignment vertical="center" wrapText="1"/>
    </x:xf>
    <x:xf numFmtId="0" fontId="16" fillId="47" borderId="3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color rgb="FF006100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D9EAD3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9893d00503477c" /><Relationship Type="http://schemas.openxmlformats.org/officeDocument/2006/relationships/theme" Target="/xl/theme/theme1.xml" Id="R98e8260223104b9f" /><Relationship Type="http://schemas.openxmlformats.org/officeDocument/2006/relationships/sharedStrings" Target="/xl/sharedStrings.xml" Id="R88633cc805cf41af" /><Relationship Type="http://schemas.openxmlformats.org/officeDocument/2006/relationships/worksheet" Target="/xl/worksheets/sheet1.xml" Id="R42d15fdff5744b2e" /><Relationship Type="http://schemas.openxmlformats.org/officeDocument/2006/relationships/worksheet" Target="/xl/worksheets/sheet2.xml" Id="Rb4e7f1a1e725486b" /><Relationship Type="http://schemas.openxmlformats.org/officeDocument/2006/relationships/worksheet" Target="/xl/worksheets/sheet3.xml" Id="R67c9f0068fa949e4" /><Relationship Type="http://schemas.openxmlformats.org/officeDocument/2006/relationships/worksheet" Target="/xl/worksheets/sheet4.xml" Id="R182bbc15d65945f2" /><Relationship Type="http://schemas.openxmlformats.org/officeDocument/2006/relationships/worksheet" Target="/xl/worksheets/sheet5.xml" Id="R8e5e0e5b7f9d459f" /><Relationship Type="http://schemas.openxmlformats.org/officeDocument/2006/relationships/worksheet" Target="/xl/worksheets/sheet6.xml" Id="Rd937a104833c4329" /><Relationship Type="http://schemas.openxmlformats.org/officeDocument/2006/relationships/worksheet" Target="/xl/worksheets/sheet7.xml" Id="R529aefb8e4bd4fd0" /><Relationship Type="http://schemas.openxmlformats.org/officeDocument/2006/relationships/worksheet" Target="/xl/worksheets/sheet8.xml" Id="Rc46847408b7c4fa2" /><Relationship Type="http://schemas.openxmlformats.org/officeDocument/2006/relationships/worksheet" Target="/xl/worksheets/sheet9.xml" Id="R25836f90cb064930" /><Relationship Type="http://schemas.openxmlformats.org/officeDocument/2006/relationships/worksheet" Target="/xl/worksheets/sheet10.xml" Id="Re7b003d7078a4ed7" /><Relationship Type="http://schemas.openxmlformats.org/officeDocument/2006/relationships/worksheet" Target="/xl/worksheets/sheet11.xml" Id="R00cb3a73e2854142" /><Relationship Type="http://schemas.openxmlformats.org/officeDocument/2006/relationships/worksheet" Target="/xl/worksheets/sheet12.xml" Id="R8a348806ad234f35" /><Relationship Type="http://schemas.openxmlformats.org/officeDocument/2006/relationships/worksheet" Target="/xl/worksheets/sheet13.xml" Id="Rda800aefe15045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ee8a17bca1e4c1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8c8621b405f49af" /><Relationship Type="http://schemas.openxmlformats.org/officeDocument/2006/relationships/chart" Target="/xl/drawings/charts/chart3.xml" Id="Rc9e6e78a4a93471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ee4a586318804539" /><Relationship Type="http://schemas.openxmlformats.org/officeDocument/2006/relationships/chart" Target="/xl/drawings/charts/chart5.xml" Id="R1d1dbea3bdba45d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f9f90f31ffca4e33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Évolution hebdomadaire des statuts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v>Total</c:v>
          </c:tx>
          <c:marker>
            <c:symbol val="none"/>
          </c:marker>
          <c:cat>
            <c:strRef>
              <c:f>'04_Historique_Hebdo'!$A$5:$A$8</c:f>
              <c:strCache>
                <c:ptCount val="4"/>
                <c:pt idx="0">
                  <c:v>2026-W25</c:v>
                </c:pt>
                <c:pt idx="1">
                  <c:v>2026-W26</c:v>
                </c:pt>
                <c:pt idx="2">
                  <c:v>2026-W27</c:v>
                </c:pt>
                <c:pt idx="3">
                  <c:v>2026-W28</c:v>
                </c:pt>
              </c:strCache>
            </c:strRef>
          </c:cat>
          <c:val>
            <c:numRef>
              <c:f>'04_Historique_Hebdo'!$C$5:$C$8</c:f>
              <c:numCache>
                <c:formatCode>General</c:formatCode>
                <c:ptCount val="4"/>
                <c:pt idx="0">
                  <c:v>54</c:v>
                </c:pt>
                <c:pt idx="1">
                  <c:v>58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Livré</c:v>
          </c:tx>
          <c:marker>
            <c:symbol val="none"/>
          </c:marker>
          <c:cat>
            <c:strRef>
              <c:f>'04_Historique_Hebdo'!$A$5:$A$8</c:f>
              <c:strCache>
                <c:ptCount val="4"/>
                <c:pt idx="0">
                  <c:v>2026-W25</c:v>
                </c:pt>
                <c:pt idx="1">
                  <c:v>2026-W26</c:v>
                </c:pt>
                <c:pt idx="2">
                  <c:v>2026-W27</c:v>
                </c:pt>
                <c:pt idx="3">
                  <c:v>2026-W28</c:v>
                </c:pt>
              </c:strCache>
            </c:strRef>
          </c:cat>
          <c:val>
            <c:numRef>
              <c:f>'04_Historique_Hebdo'!$D$5:$D$8</c:f>
              <c:numCache>
                <c:formatCode>General</c:formatCode>
                <c:ptCount val="4"/>
                <c:pt idx="0">
                  <c:v>37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v>En cours</c:v>
          </c:tx>
          <c:marker>
            <c:symbol val="none"/>
          </c:marker>
          <c:cat>
            <c:strRef>
              <c:f>'04_Historique_Hebdo'!$A$5:$A$8</c:f>
              <c:strCache>
                <c:ptCount val="4"/>
                <c:pt idx="0">
                  <c:v>2026-W25</c:v>
                </c:pt>
                <c:pt idx="1">
                  <c:v>2026-W26</c:v>
                </c:pt>
                <c:pt idx="2">
                  <c:v>2026-W27</c:v>
                </c:pt>
                <c:pt idx="3">
                  <c:v>2026-W28</c:v>
                </c:pt>
              </c:strCache>
            </c:strRef>
          </c:cat>
          <c:val>
            <c:numRef>
              <c:f>'04_Historique_Hebdo'!$E$5:$E$8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v>À traiter</c:v>
          </c:tx>
          <c:marker>
            <c:symbol val="none"/>
          </c:marker>
          <c:cat>
            <c:strRef>
              <c:f>'04_Historique_Hebdo'!$A$5:$A$8</c:f>
              <c:strCache>
                <c:ptCount val="4"/>
                <c:pt idx="0">
                  <c:v>2026-W25</c:v>
                </c:pt>
                <c:pt idx="1">
                  <c:v>2026-W26</c:v>
                </c:pt>
                <c:pt idx="2">
                  <c:v>2026-W27</c:v>
                </c:pt>
                <c:pt idx="3">
                  <c:v>2026-W28</c:v>
                </c:pt>
              </c:strCache>
            </c:strRef>
          </c:cat>
          <c:val>
            <c:numRef>
              <c:f>'04_Historique_Hebdo'!$F$5:$F$8</c:f>
              <c:numCache>
                <c:formatCode>General</c:formatCode>
                <c:ptCount val="4"/>
                <c:pt idx="0">
                  <c:v>7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367680"/>
        <c:axId val="220927104"/>
      </c:lineChart>
      <c:catAx>
        <c:axId val="221367680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20927104"/>
        <c:crosses val="autoZero"/>
      </c:catAx>
      <c:valAx>
        <c:axId val="220927104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21367680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Statuts par domaine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Total</c:v>
          </c:tx>
          <c:cat>
            <c:strRef>
              <c:f>'06_Dashboard_Source'!$A$5:$A$6</c:f>
              <c:strCache>
                <c:ptCount val="2"/>
                <c:pt idx="0">
                  <c:v>Acquisition</c:v>
                </c:pt>
                <c:pt idx="1">
                  <c:v>Issuing</c:v>
                </c:pt>
              </c:strCache>
            </c:strRef>
          </c:cat>
          <c:val>
            <c:numRef>
              <c:f>'06_Dashboard_Source'!$B$5:$B$6</c:f>
              <c:numCache>
                <c:formatCode>General</c:formatCode>
                <c:ptCount val="2"/>
                <c:pt idx="0">
                  <c:v>20</c:v>
                </c:pt>
                <c:pt idx="1">
                  <c:v>28</c:v>
                </c:pt>
              </c:numCache>
            </c:numRef>
          </c:val>
        </c:ser>
        <c:ser>
          <c:idx val="1"/>
          <c:order val="1"/>
          <c:tx>
            <c:v>Livré</c:v>
          </c:tx>
          <c:cat>
            <c:strRef>
              <c:f>'06_Dashboard_Source'!$A$5:$A$6</c:f>
              <c:strCache>
                <c:ptCount val="2"/>
                <c:pt idx="0">
                  <c:v>Acquisition</c:v>
                </c:pt>
                <c:pt idx="1">
                  <c:v>Issuing</c:v>
                </c:pt>
              </c:strCache>
            </c:strRef>
          </c:cat>
          <c:val>
            <c:numRef>
              <c:f>'06_Dashboard_Source'!$C$5:$C$6</c:f>
              <c:numCache>
                <c:formatCode>General</c:formatCode>
                <c:ptCount val="2"/>
                <c:pt idx="0">
                  <c:v>18</c:v>
                </c:pt>
                <c:pt idx="1">
                  <c:v>26</c:v>
                </c:pt>
              </c:numCache>
            </c:numRef>
          </c:val>
        </c:ser>
        <c:ser>
          <c:idx val="2"/>
          <c:order val="2"/>
          <c:tx>
            <c:v>En cours</c:v>
          </c:tx>
          <c:cat>
            <c:strRef>
              <c:f>'06_Dashboard_Source'!$A$5:$A$6</c:f>
              <c:strCache>
                <c:ptCount val="2"/>
                <c:pt idx="0">
                  <c:v>Acquisition</c:v>
                </c:pt>
                <c:pt idx="1">
                  <c:v>Issuing</c:v>
                </c:pt>
              </c:strCache>
            </c:strRef>
          </c:cat>
          <c:val>
            <c:numRef>
              <c:f>'06_Dashboard_Source'!$D$5:$D$6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À traiter</c:v>
          </c:tx>
          <c:cat>
            <c:strRef>
              <c:f>'06_Dashboard_Source'!$A$5:$A$6</c:f>
              <c:strCache>
                <c:ptCount val="2"/>
                <c:pt idx="0">
                  <c:v>Acquisition</c:v>
                </c:pt>
                <c:pt idx="1">
                  <c:v>Issuing</c:v>
                </c:pt>
              </c:strCache>
            </c:strRef>
          </c:cat>
          <c:val>
            <c:numRef>
              <c:f>'06_Dashboard_Source'!$E$5:$E$6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016064"/>
        <c:axId val="221017600"/>
      </c:barChart>
      <c:catAx>
        <c:axId val="221016064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21017600"/>
        <c:crosses val="autoZero"/>
      </c:catAx>
      <c:valAx>
        <c:axId val="221017600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21016064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Statuts par type de livraison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Total</c:v>
          </c:tx>
          <c:cat>
            <c:strRef>
              <c:f>'06_Dashboard_Source'!$A$10:$A$11</c:f>
              <c:strCache>
                <c:ptCount val="2"/>
                <c:pt idx="0">
                  <c:v>AVRO</c:v>
                </c:pt>
                <c:pt idx="1">
                  <c:v>Configuration</c:v>
                </c:pt>
              </c:strCache>
            </c:strRef>
          </c:cat>
          <c:val>
            <c:numRef>
              <c:f>'06_Dashboard_Source'!$B$10:$B$11</c:f>
              <c:numCache>
                <c:formatCode>General</c:formatCode>
                <c:ptCount val="2"/>
                <c:pt idx="0">
                  <c:v>40</c:v>
                </c:pt>
                <c:pt idx="1">
                  <c:v>8</c:v>
                </c:pt>
              </c:numCache>
            </c:numRef>
          </c:val>
        </c:ser>
        <c:ser>
          <c:idx val="1"/>
          <c:order val="1"/>
          <c:tx>
            <c:v>Livré</c:v>
          </c:tx>
          <c:cat>
            <c:strRef>
              <c:f>'06_Dashboard_Source'!$A$10:$A$11</c:f>
              <c:strCache>
                <c:ptCount val="2"/>
                <c:pt idx="0">
                  <c:v>AVRO</c:v>
                </c:pt>
                <c:pt idx="1">
                  <c:v>Configuration</c:v>
                </c:pt>
              </c:strCache>
            </c:strRef>
          </c:cat>
          <c:val>
            <c:numRef>
              <c:f>'06_Dashboard_Source'!$C$10:$C$11</c:f>
              <c:numCache>
                <c:formatCode>General</c:formatCode>
                <c:ptCount val="2"/>
                <c:pt idx="0">
                  <c:v>36</c:v>
                </c:pt>
                <c:pt idx="1">
                  <c:v>8</c:v>
                </c:pt>
              </c:numCache>
            </c:numRef>
          </c:val>
        </c:ser>
        <c:ser>
          <c:idx val="2"/>
          <c:order val="2"/>
          <c:tx>
            <c:v>En cours</c:v>
          </c:tx>
          <c:cat>
            <c:strRef>
              <c:f>'06_Dashboard_Source'!$A$10:$A$11</c:f>
              <c:strCache>
                <c:ptCount val="2"/>
                <c:pt idx="0">
                  <c:v>AVRO</c:v>
                </c:pt>
                <c:pt idx="1">
                  <c:v>Configuration</c:v>
                </c:pt>
              </c:strCache>
            </c:strRef>
          </c:cat>
          <c:val>
            <c:numRef>
              <c:f>'06_Dashboard_Source'!$D$10:$D$11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À traiter</c:v>
          </c:tx>
          <c:cat>
            <c:strRef>
              <c:f>'06_Dashboard_Source'!$A$10:$A$11</c:f>
              <c:strCache>
                <c:ptCount val="2"/>
                <c:pt idx="0">
                  <c:v>AVRO</c:v>
                </c:pt>
                <c:pt idx="1">
                  <c:v>Configuration</c:v>
                </c:pt>
              </c:strCache>
            </c:strRef>
          </c:cat>
          <c:val>
            <c:numRef>
              <c:f>'06_Dashboard_Source'!$E$10:$E$11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052928"/>
        <c:axId val="221054464"/>
      </c:barChart>
      <c:catAx>
        <c:axId val="22105292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21054464"/>
        <c:crosses val="autoZero"/>
      </c:catAx>
      <c:valAx>
        <c:axId val="221054464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21052928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Avancement semaine 1 → semaine 2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Total suivi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'07_Vue_Sprint'!$A$6:$A$7</c:f>
              <c:strCache>
                <c:ptCount val="2"/>
                <c:pt idx="0">
                  <c:v>Semaine 1</c:v>
                </c:pt>
                <c:pt idx="1">
                  <c:v>Semaine 2</c:v>
                </c:pt>
              </c:strCache>
            </c:strRef>
          </c:cat>
          <c:val>
            <c:numRef>
              <c:f>'07_Vue_Sprint'!$C$6:$C$7</c:f>
              <c:numCache>
                <c:formatCode>General</c:formatCode>
                <c:ptCount val="2"/>
                <c:pt idx="0">
                  <c:v>0</c:v>
                </c:pt>
                <c:pt idx="1">
                  <c:v>48</c:v>
                </c:pt>
              </c:numCache>
            </c:numRef>
          </c:val>
        </c:ser>
        <c:ser>
          <c:idx val="1"/>
          <c:order val="1"/>
          <c:tx>
            <c:v>Flux prêts</c:v>
          </c:tx>
          <c:spPr>
            <a:solidFill xmlns:a="http://schemas.openxmlformats.org/drawingml/2006/main">
              <a:srgbClr val="2E7D32"/>
            </a:solidFill>
          </c:spPr>
          <c:cat>
            <c:strRef>
              <c:f>'07_Vue_Sprint'!$A$6:$A$7</c:f>
              <c:strCache>
                <c:ptCount val="2"/>
                <c:pt idx="0">
                  <c:v>Semaine 1</c:v>
                </c:pt>
                <c:pt idx="1">
                  <c:v>Semaine 2</c:v>
                </c:pt>
              </c:strCache>
            </c:strRef>
          </c:cat>
          <c:val>
            <c:numRef>
              <c:f>'07_Vue_Sprint'!$D$6:$D$7</c:f>
              <c:numCache>
                <c:formatCode>General</c:formatCode>
                <c:ptCount val="2"/>
                <c:pt idx="0">
                  <c:v>0</c:v>
                </c:pt>
                <c:pt idx="1">
                  <c:v>44</c:v>
                </c:pt>
              </c:numCache>
            </c:numRef>
          </c:val>
        </c:ser>
        <c:ser>
          <c:idx val="2"/>
          <c:order val="2"/>
          <c:tx>
            <c:v>Anomalies ouvertes</c:v>
          </c:tx>
          <c:spPr>
            <a:solidFill xmlns:a="http://schemas.openxmlformats.org/drawingml/2006/main">
              <a:srgbClr val="00A6D6"/>
            </a:solidFill>
          </c:spPr>
          <c:cat>
            <c:strRef>
              <c:f>'07_Vue_Sprint'!$A$6:$A$7</c:f>
              <c:strCache>
                <c:ptCount val="2"/>
                <c:pt idx="0">
                  <c:v>Semaine 1</c:v>
                </c:pt>
                <c:pt idx="1">
                  <c:v>Semaine 2</c:v>
                </c:pt>
              </c:strCache>
            </c:strRef>
          </c:cat>
          <c:val>
            <c:numRef>
              <c:f>'07_Vue_Sprint'!$E$6:$E$7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val>
        </c:ser>
        <c:ser>
          <c:idx val="3"/>
          <c:order val="3"/>
          <c:tx>
            <c:v>KO</c:v>
          </c:tx>
          <c:spPr>
            <a:solidFill xmlns:a="http://schemas.openxmlformats.org/drawingml/2006/main">
              <a:srgbClr val="C00000"/>
            </a:solidFill>
          </c:spPr>
          <c:cat>
            <c:strRef>
              <c:f>'07_Vue_Sprint'!$A$6:$A$7</c:f>
              <c:strCache>
                <c:ptCount val="2"/>
                <c:pt idx="0">
                  <c:v>Semaine 1</c:v>
                </c:pt>
                <c:pt idx="1">
                  <c:v>Semaine 2</c:v>
                </c:pt>
              </c:strCache>
            </c:strRef>
          </c:cat>
          <c:val>
            <c:numRef>
              <c:f>'07_Vue_Sprint'!$G$6:$G$7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val>
        </c:ser>
        <c:ser>
          <c:idx val="4"/>
          <c:order val="4"/>
          <c:tx>
            <c:v>En cours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'07_Vue_Sprint'!$A$6:$A$7</c:f>
              <c:strCache>
                <c:ptCount val="2"/>
                <c:pt idx="0">
                  <c:v>Semaine 1</c:v>
                </c:pt>
                <c:pt idx="1">
                  <c:v>Semaine 2</c:v>
                </c:pt>
              </c:strCache>
            </c:strRef>
          </c:cat>
          <c:val>
            <c:numRef>
              <c:f>'07_Vue_Sprint'!$H$6:$H$7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327936"/>
        <c:axId val="222329472"/>
      </c:barChart>
      <c:catAx>
        <c:axId val="222327936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22329472"/>
        <c:crosses val="autoZero"/>
      </c:catAx>
      <c:valAx>
        <c:axId val="22232947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22327936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État final par domaine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Total suivi</c:v>
          </c:tx>
          <c:cat>
            <c:strRef>
              <c:f>'07_Vue_Sprint'!$A$11:$A$12</c:f>
              <c:strCache>
                <c:ptCount val="2"/>
                <c:pt idx="0">
                  <c:v>Acquisition</c:v>
                </c:pt>
                <c:pt idx="1">
                  <c:v>Issuing</c:v>
                </c:pt>
              </c:strCache>
            </c:strRef>
          </c:cat>
          <c:val>
            <c:numRef>
              <c:f>'07_Vue_Sprint'!$B$11:$B$12</c:f>
              <c:numCache>
                <c:formatCode>General</c:formatCode>
                <c:ptCount val="2"/>
                <c:pt idx="0">
                  <c:v>20</c:v>
                </c:pt>
                <c:pt idx="1">
                  <c:v>28</c:v>
                </c:pt>
              </c:numCache>
            </c:numRef>
          </c:val>
        </c:ser>
        <c:ser>
          <c:idx val="1"/>
          <c:order val="1"/>
          <c:tx>
            <c:v>Flux prêts</c:v>
          </c:tx>
          <c:cat>
            <c:strRef>
              <c:f>'07_Vue_Sprint'!$A$11:$A$12</c:f>
              <c:strCache>
                <c:ptCount val="2"/>
                <c:pt idx="0">
                  <c:v>Acquisition</c:v>
                </c:pt>
                <c:pt idx="1">
                  <c:v>Issuing</c:v>
                </c:pt>
              </c:strCache>
            </c:strRef>
          </c:cat>
          <c:val>
            <c:numRef>
              <c:f>'07_Vue_Sprint'!$C$11:$C$12</c:f>
              <c:numCache>
                <c:formatCode>General</c:formatCode>
                <c:ptCount val="2"/>
                <c:pt idx="0">
                  <c:v>18</c:v>
                </c:pt>
                <c:pt idx="1">
                  <c:v>26</c:v>
                </c:pt>
              </c:numCache>
            </c:numRef>
          </c:val>
        </c:ser>
        <c:ser>
          <c:idx val="2"/>
          <c:order val="2"/>
          <c:tx>
            <c:v>Anomalies ouvertes</c:v>
          </c:tx>
          <c:cat>
            <c:strRef>
              <c:f>'07_Vue_Sprint'!$A$11:$A$12</c:f>
              <c:strCache>
                <c:ptCount val="2"/>
                <c:pt idx="0">
                  <c:v>Acquisition</c:v>
                </c:pt>
                <c:pt idx="1">
                  <c:v>Issuing</c:v>
                </c:pt>
              </c:strCache>
            </c:strRef>
          </c:cat>
          <c:val>
            <c:numRef>
              <c:f>'07_Vue_Sprint'!$D$11:$D$12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</c:ser>
        <c:ser>
          <c:idx val="3"/>
          <c:order val="3"/>
          <c:tx>
            <c:v>OK</c:v>
          </c:tx>
          <c:cat>
            <c:strRef>
              <c:f>'07_Vue_Sprint'!$A$11:$A$12</c:f>
              <c:strCache>
                <c:ptCount val="2"/>
                <c:pt idx="0">
                  <c:v>Acquisition</c:v>
                </c:pt>
                <c:pt idx="1">
                  <c:v>Issuing</c:v>
                </c:pt>
              </c:strCache>
            </c:strRef>
          </c:cat>
          <c:val>
            <c:numRef>
              <c:f>'07_Vue_Sprint'!$E$11:$E$12</c:f>
              <c:numCache>
                <c:formatCode>General</c:formatCode>
                <c:ptCount val="2"/>
                <c:pt idx="0">
                  <c:v>18</c:v>
                </c:pt>
                <c:pt idx="1">
                  <c:v>26</c:v>
                </c:pt>
              </c:numCache>
            </c:numRef>
          </c:val>
        </c:ser>
        <c:ser>
          <c:idx val="4"/>
          <c:order val="4"/>
          <c:tx>
            <c:v>KO</c:v>
          </c:tx>
          <c:cat>
            <c:strRef>
              <c:f>'07_Vue_Sprint'!$A$11:$A$12</c:f>
              <c:strCache>
                <c:ptCount val="2"/>
                <c:pt idx="0">
                  <c:v>Acquisition</c:v>
                </c:pt>
                <c:pt idx="1">
                  <c:v>Issuing</c:v>
                </c:pt>
              </c:strCache>
            </c:strRef>
          </c:cat>
          <c:val>
            <c:numRef>
              <c:f>'07_Vue_Sprint'!$F$11:$F$12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val>
        </c:ser>
        <c:ser>
          <c:idx val="5"/>
          <c:order val="5"/>
          <c:tx>
            <c:v>En cours</c:v>
          </c:tx>
          <c:cat>
            <c:strRef>
              <c:f>'07_Vue_Sprint'!$A$11:$A$12</c:f>
              <c:strCache>
                <c:ptCount val="2"/>
                <c:pt idx="0">
                  <c:v>Acquisition</c:v>
                </c:pt>
                <c:pt idx="1">
                  <c:v>Issuing</c:v>
                </c:pt>
              </c:strCache>
            </c:strRef>
          </c:cat>
          <c:val>
            <c:numRef>
              <c:f>'07_Vue_Sprint'!$G$11:$G$12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376704"/>
        <c:axId val="222378240"/>
      </c:barChart>
      <c:catAx>
        <c:axId val="222376704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22378240"/>
        <c:crosses val="autoZero"/>
      </c:catAx>
      <c:valAx>
        <c:axId val="222378240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22376704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Progression par sous-domaine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S1 Prêts</c:v>
          </c:tx>
          <c:spPr>
            <a:solidFill xmlns:a="http://schemas.openxmlformats.org/drawingml/2006/main">
              <a:srgbClr val="F4B183"/>
            </a:solidFill>
          </c:spPr>
          <c:cat>
            <c:strRef>
              <c:f>'08_Vue_Sous_Domaine'!$B$6:$B$13</c:f>
              <c:strCache>
                <c:ptCount val="8"/>
                <c:pt idx="0">
                  <c:v>Onboarding</c:v>
                </c:pt>
                <c:pt idx="1">
                  <c:v>Authorize</c:v>
                </c:pt>
                <c:pt idx="2">
                  <c:v>Crédit commerçant</c:v>
                </c:pt>
                <c:pt idx="3">
                  <c:v>Capture / Compensation</c:v>
                </c:pt>
                <c:pt idx="4">
                  <c:v>Onboarding</c:v>
                </c:pt>
                <c:pt idx="5">
                  <c:v>Authorize / Paiement</c:v>
                </c:pt>
                <c:pt idx="6">
                  <c:v>Contestation</c:v>
                </c:pt>
                <c:pt idx="7">
                  <c:v>GED</c:v>
                </c:pt>
              </c:strCache>
            </c:strRef>
          </c:cat>
          <c:val>
            <c:numRef>
              <c:f>'08_Vue_Sous_Domaine'!$D$6:$D$13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S2 Prêts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'08_Vue_Sous_Domaine'!$B$6:$B$13</c:f>
              <c:strCache>
                <c:ptCount val="8"/>
                <c:pt idx="0">
                  <c:v>Onboarding</c:v>
                </c:pt>
                <c:pt idx="1">
                  <c:v>Authorize</c:v>
                </c:pt>
                <c:pt idx="2">
                  <c:v>Crédit commerçant</c:v>
                </c:pt>
                <c:pt idx="3">
                  <c:v>Capture / Compensation</c:v>
                </c:pt>
                <c:pt idx="4">
                  <c:v>Onboarding</c:v>
                </c:pt>
                <c:pt idx="5">
                  <c:v>Authorize / Paiement</c:v>
                </c:pt>
                <c:pt idx="6">
                  <c:v>Contestation</c:v>
                </c:pt>
                <c:pt idx="7">
                  <c:v>GED</c:v>
                </c:pt>
              </c:strCache>
            </c:strRef>
          </c:cat>
          <c:val>
            <c:numRef>
              <c:f>'08_Vue_Sous_Domaine'!$G$6:$G$13</c:f>
              <c:numCache>
                <c:formatCode>General</c:formatCode>
                <c:ptCount val="8"/>
                <c:pt idx="0">
                  <c:v>12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12</c:v>
                </c:pt>
                <c:pt idx="5">
                  <c:v>2</c:v>
                </c:pt>
                <c:pt idx="6">
                  <c:v>8</c:v>
                </c:pt>
                <c:pt idx="7">
                  <c:v>4</c:v>
                </c:pt>
              </c:numCache>
            </c:numRef>
          </c:val>
        </c:ser>
        <c:ser>
          <c:idx val="2"/>
          <c:order val="2"/>
          <c:tx>
            <c:v>S2 Anomalies</c:v>
          </c:tx>
          <c:spPr>
            <a:solidFill xmlns:a="http://schemas.openxmlformats.org/drawingml/2006/main">
              <a:srgbClr val="C00000"/>
            </a:solidFill>
          </c:spPr>
          <c:cat>
            <c:strRef>
              <c:f>'08_Vue_Sous_Domaine'!$B$6:$B$13</c:f>
              <c:strCache>
                <c:ptCount val="8"/>
                <c:pt idx="0">
                  <c:v>Onboarding</c:v>
                </c:pt>
                <c:pt idx="1">
                  <c:v>Authorize</c:v>
                </c:pt>
                <c:pt idx="2">
                  <c:v>Crédit commerçant</c:v>
                </c:pt>
                <c:pt idx="3">
                  <c:v>Capture / Compensation</c:v>
                </c:pt>
                <c:pt idx="4">
                  <c:v>Onboarding</c:v>
                </c:pt>
                <c:pt idx="5">
                  <c:v>Authorize / Paiement</c:v>
                </c:pt>
                <c:pt idx="6">
                  <c:v>Contestation</c:v>
                </c:pt>
                <c:pt idx="7">
                  <c:v>GED</c:v>
                </c:pt>
              </c:strCache>
            </c:strRef>
          </c:cat>
          <c:val>
            <c:numRef>
              <c:f>'08_Vue_Sous_Domaine'!$H$6:$H$13</c:f>
              <c:numCache>
                <c:formatCode>General</c:formatCode>
                <c:ptCount val="8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695808"/>
        <c:axId val="222697344"/>
      </c:barChart>
      <c:catAx>
        <c:axId val="22269580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22697344"/>
        <c:crosses val="autoZero"/>
      </c:catAx>
      <c:valAx>
        <c:axId val="222697344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22695808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e8a17bca1e4c1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c8621b405f49af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e6e78a4a93471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4a586318804539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1dbea3bdba45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11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f90f31ffca4e3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CatalogueFlux" displayName="tblCatalogueFlux" ref="A4:P40" totalsRowShown="0">
  <x:tableColumns count="16">
    <x:tableColumn id="1" name="ID_Flux"/>
    <x:tableColumn id="2" name="Domaine"/>
    <x:tableColumn id="3" name="Code_Domaine"/>
    <x:tableColumn id="4" name="Sous_Domaine"/>
    <x:tableColumn id="5" name="UC"/>
    <x:tableColumn id="6" name="Périmètre_Fonctionnel"/>
    <x:tableColumn id="7" name="Direction_Brute"/>
    <x:tableColumn id="8" name="Sens_Normalisé"/>
    <x:tableColumn id="9" name="Pattern_Estreem"/>
    <x:tableColumn id="10" name="Pattern_GIL_BCEF"/>
    <x:tableColumn id="11" name="Support"/>
    <x:tableColumn id="12" name="Use_Case_Fonctionnel"/>
    <x:tableColumn id="13" name="Données_Complémentaires"/>
    <x:tableColumn id="14" name="Source"/>
    <x:tableColumn id="15" name="Ligne_Source"/>
    <x:tableColumn id="16" name="Acti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tblSuiviReel" displayName="tblSuiviReel" ref="A70:R126" headerRowCount="1" totalsRowCount="0" totalsRowShown="0">
  <x:tableColumns count="18">
    <x:tableColumn id="1" name="Semaine"/>
    <x:tableColumn id="2" name="Date_Rapport"/>
    <x:tableColumn id="3" name="ID_Flux"/>
    <x:tableColumn id="4" name="Domaine"/>
    <x:tableColumn id="5" name="Sous_Domaine"/>
    <x:tableColumn id="6" name="Environnement"/>
    <x:tableColumn id="7" name="Type_Livraison"/>
    <x:tableColumn id="8" name="Statut"/>
    <x:tableColumn id="9" name="Version"/>
    <x:tableColumn id="10" name="Nombre"/>
    <x:tableColumn id="11" name="Commentaire"/>
    <x:tableColumn id="12" name="Nature_Donnée"/>
    <x:tableColumn id="13" name="Source"/>
    <x:tableColumn id="14" name="Référence_Source"/>
    <x:tableColumn id="15" name="Sprint"/>
    <x:tableColumn id="16" name="Niveau_Semaine"/>
    <x:tableColumn id="17" name="État_Flux"/>
    <x:tableColumn id="18" name="État_Anomali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tblDetailSprint" displayName="tblDetailSprint" ref="A4:N212" totalsRowShown="0">
  <x:tableColumns count="14">
    <x:tableColumn id="1" name="Sprint"/>
    <x:tableColumn id="2" name="Niveau semaine"/>
    <x:tableColumn id="3" name="Semaine"/>
    <x:tableColumn id="4" name="Nature"/>
    <x:tableColumn id="5" name="Domaine"/>
    <x:tableColumn id="6" name="Sous-domaine"/>
    <x:tableColumn id="7" name="Environnement"/>
    <x:tableColumn id="8" name="Type"/>
    <x:tableColumn id="9" name="ID flux"/>
    <x:tableColumn id="10" name="Version"/>
    <x:tableColumn id="11" name="État flux"/>
    <x:tableColumn id="12" name="État anomalie"/>
    <x:tableColumn id="13" name="Statut source"/>
    <x:tableColumn id="14" name="Commentai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20c460f0c747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a6f696373941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73b2c29a83c74f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5220b5d403d948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ad97f8aabd8e4af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4.xml" Id="Rb3d14101e7cb4a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3.xml" Id="Rc39e9ae1f67f4c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8671875" defaultRowHeight="14.399999618530273"/>
  <x:cols>
    <x:col min="1" max="1" width="9" customWidth="1"/>
    <x:col min="2" max="2" width="34" customWidth="1"/>
    <x:col min="3" max="3" width="25" customWidth="1"/>
    <x:col min="4" max="4" width="42" customWidth="1"/>
    <x:col min="5" max="5" width="14" customWidth="1"/>
    <x:col min="6" max="6" width="28" customWidth="1"/>
    <x:col min="7" max="7" width="22" customWidth="1"/>
    <x:col min="8" max="8" width="34" customWidth="1"/>
  </x:cols>
  <x:sheetData>
    <x:row r="1" ht="19.200000762939453" customHeight="1">
      <x:c r="A1" s="21" t="s">
        <x:v>0</x:v>
      </x:c>
      <x:c r="B1" s="21"/>
      <x:c r="C1" s="21"/>
      <x:c r="D1" s="21"/>
      <x:c r="E1" s="21"/>
      <x:c r="F1" s="21"/>
      <x:c r="G1" s="21"/>
      <x:c r="H1" s="21"/>
    </x:row>
    <x:row r="2" ht="15" customHeight="1">
      <x:c r="A2" s="22" t="s">
        <x:v>1</x:v>
      </x:c>
      <x:c r="B2" s="22"/>
      <x:c r="C2" s="22"/>
      <x:c r="D2" s="22"/>
      <x:c r="E2" s="22"/>
      <x:c r="F2" s="22"/>
      <x:c r="G2" s="22"/>
      <x:c r="H2" s="22"/>
    </x:row>
    <x:row r="4" ht="15" customHeight="1">
      <x:c r="A4" s="1" t="s">
        <x:v>2</x:v>
      </x:c>
      <x:c r="B4" s="1" t="s">
        <x:v>3</x:v>
      </x:c>
      <x:c r="C4" s="1" t="s">
        <x:v>4</x:v>
      </x:c>
      <x:c r="D4" s="1" t="s">
        <x:v>5</x:v>
      </x:c>
      <x:c r="E4" s="1" t="s">
        <x:v>6</x:v>
      </x:c>
      <x:c r="F4" s="1" t="s">
        <x:v>7</x:v>
      </x:c>
      <x:c r="G4" s="1" t="s">
        <x:v>8</x:v>
      </x:c>
      <x:c r="H4" s="1" t="s">
        <x:v>9</x:v>
      </x:c>
    </x:row>
    <x:row r="5" ht="15" customHeight="1">
      <x:c r="A5" s="2">
        <x:v>1</x:v>
      </x:c>
      <x:c r="B5" s="2" t="s">
        <x:v>10</x:v>
      </x:c>
      <x:c r="C5" s="2" t="s">
        <x:v>11</x:v>
      </x:c>
      <x:c r="D5" s="2" t="s">
        <x:v>12</x:v>
      </x:c>
      <x:c r="E5" s="2" t="s">
        <x:v>13</x:v>
      </x:c>
      <x:c r="F5" s="2" t="s">
        <x:v>14</x:v>
      </x:c>
      <x:c r="G5" s="2" t="s">
        <x:v>15</x:v>
      </x:c>
      <x:c r="H5" s="2" t="s">
        <x:v>16</x:v>
      </x:c>
    </x:row>
    <x:row r="6" ht="15" customHeight="1">
      <x:c r="A6" s="2">
        <x:v>2</x:v>
      </x:c>
      <x:c r="B6" s="2" t="s">
        <x:v>17</x:v>
      </x:c>
      <x:c r="C6" s="2" t="s">
        <x:v>18</x:v>
      </x:c>
      <x:c r="D6" s="2" t="s">
        <x:v>19</x:v>
      </x:c>
      <x:c r="E6" s="2" t="s">
        <x:v>13</x:v>
      </x:c>
      <x:c r="F6" s="2" t="s">
        <x:v>20</x:v>
      </x:c>
      <x:c r="G6" s="2" t="s">
        <x:v>21</x:v>
      </x:c>
      <x:c r="H6" s="2" t="s">
        <x:v>22</x:v>
      </x:c>
    </x:row>
    <x:row r="7" ht="15" customHeight="1">
      <x:c r="A7" s="2">
        <x:v>3</x:v>
      </x:c>
      <x:c r="B7" s="2" t="s">
        <x:v>23</x:v>
      </x:c>
      <x:c r="C7" s="2" t="s">
        <x:v>24</x:v>
      </x:c>
      <x:c r="D7" s="2" t="s">
        <x:v>25</x:v>
      </x:c>
      <x:c r="E7" s="2" t="s">
        <x:v>13</x:v>
      </x:c>
      <x:c r="F7" s="2" t="s">
        <x:v>26</x:v>
      </x:c>
      <x:c r="G7" s="2" t="s">
        <x:v>21</x:v>
      </x:c>
      <x:c r="H7" s="2" t="s">
        <x:v>27</x:v>
      </x:c>
    </x:row>
    <x:row r="8" ht="15" customHeight="1">
      <x:c r="A8" s="2">
        <x:v>4</x:v>
      </x:c>
      <x:c r="B8" s="2" t="s">
        <x:v>28</x:v>
      </x:c>
      <x:c r="C8" s="2" t="s">
        <x:v>29</x:v>
      </x:c>
      <x:c r="D8" s="2" t="s">
        <x:v>30</x:v>
      </x:c>
      <x:c r="E8" s="2" t="s">
        <x:v>13</x:v>
      </x:c>
      <x:c r="F8" s="2" t="s">
        <x:v>31</x:v>
      </x:c>
      <x:c r="G8" s="2" t="s">
        <x:v>21</x:v>
      </x:c>
      <x:c r="H8" s="2" t="s">
        <x:v>32</x:v>
      </x:c>
    </x:row>
    <x:row r="9" ht="15" customHeight="1">
      <x:c r="A9" s="2">
        <x:v>5</x:v>
      </x:c>
      <x:c r="B9" s="2" t="s">
        <x:v>33</x:v>
      </x:c>
      <x:c r="C9" s="2" t="s">
        <x:v>34</x:v>
      </x:c>
      <x:c r="D9" s="2" t="s">
        <x:v>35</x:v>
      </x:c>
      <x:c r="E9" s="2" t="s">
        <x:v>13</x:v>
      </x:c>
      <x:c r="F9" s="2" t="s">
        <x:v>26</x:v>
      </x:c>
      <x:c r="G9" s="2" t="s">
        <x:v>21</x:v>
      </x:c>
      <x:c r="H9" s="2" t="s">
        <x:v>36</x:v>
      </x:c>
    </x:row>
    <x:row r="10" ht="15" customHeight="1">
      <x:c r="A10" s="2">
        <x:v>6</x:v>
      </x:c>
      <x:c r="B10" s="2" t="s">
        <x:v>37</x:v>
      </x:c>
      <x:c r="C10" s="2" t="s">
        <x:v>38</x:v>
      </x:c>
      <x:c r="D10" s="2" t="s">
        <x:v>39</x:v>
      </x:c>
      <x:c r="E10" s="2" t="s">
        <x:v>13</x:v>
      </x:c>
      <x:c r="F10" s="2" t="s">
        <x:v>40</x:v>
      </x:c>
      <x:c r="G10" s="2" t="s">
        <x:v>41</x:v>
      </x:c>
      <x:c r="H10" s="2" t="s">
        <x:v>42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8671875" defaultRowHeight="14.399999618530273"/>
  <x:cols>
    <x:col min="1" max="1" width="19" customWidth="1"/>
    <x:col min="2" max="2" width="15" customWidth="1"/>
    <x:col min="3" max="3" width="13" customWidth="1"/>
    <x:col min="4" max="4" width="24" customWidth="1"/>
    <x:col min="5" max="5" width="10" customWidth="1"/>
    <x:col min="6" max="6" width="22" customWidth="1"/>
    <x:col min="7" max="7" width="14" customWidth="1"/>
    <x:col min="8" max="8" width="25" customWidth="1"/>
    <x:col min="9" max="10" width="20" customWidth="1"/>
    <x:col min="11" max="11" width="13" customWidth="1"/>
    <x:col min="12" max="12" width="28" customWidth="1"/>
    <x:col min="13" max="13" width="55" customWidth="1"/>
    <x:col min="14" max="14" width="24" customWidth="1"/>
    <x:col min="15" max="15" width="12" customWidth="1"/>
    <x:col min="16" max="16" width="10" customWidth="1"/>
  </x:cols>
  <x:sheetData>
    <x:row r="1" ht="19.200000762939453" customHeight="1">
      <x:c r="A1" s="21" t="s">
        <x:v>43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</x:row>
    <x:row r="2" ht="15" customHeight="1">
      <x:c r="A2" s="22" t="s">
        <x:v>44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</x:row>
    <x:row r="4" ht="15" customHeight="1">
      <x:c r="A4" s="1" t="s">
        <x:v>45</x:v>
      </x:c>
      <x:c r="B4" s="1" t="s">
        <x:v>46</x:v>
      </x:c>
      <x:c r="C4" s="1" t="s">
        <x:v>47</x:v>
      </x:c>
      <x:c r="D4" s="1" t="s">
        <x:v>48</x:v>
      </x:c>
      <x:c r="E4" s="1" t="s">
        <x:v>49</x:v>
      </x:c>
      <x:c r="F4" s="1" t="s">
        <x:v>50</x:v>
      </x:c>
      <x:c r="G4" s="1" t="s">
        <x:v>51</x:v>
      </x:c>
      <x:c r="H4" s="1" t="s">
        <x:v>52</x:v>
      </x:c>
      <x:c r="I4" s="1" t="s">
        <x:v>53</x:v>
      </x:c>
      <x:c r="J4" s="1" t="s">
        <x:v>54</x:v>
      </x:c>
      <x:c r="K4" s="1" t="s">
        <x:v>55</x:v>
      </x:c>
      <x:c r="L4" s="1" t="s">
        <x:v>56</x:v>
      </x:c>
      <x:c r="M4" s="1" t="s">
        <x:v>57</x:v>
      </x:c>
      <x:c r="N4" s="1" t="s">
        <x:v>7</x:v>
      </x:c>
      <x:c r="O4" s="1" t="s">
        <x:v>58</x:v>
      </x:c>
      <x:c r="P4" s="1" t="s">
        <x:v>59</x:v>
      </x:c>
    </x:row>
    <x:row r="5" ht="15" customHeight="1">
      <x:c r="A5" s="3" t="s">
        <x:v>60</x:v>
      </x:c>
      <x:c r="B5" s="2" t="s">
        <x:v>61</x:v>
      </x:c>
      <x:c r="C5" s="2" t="s">
        <x:v>62</x:v>
      </x:c>
      <x:c r="D5" s="2" t="s">
        <x:v>63</x:v>
      </x:c>
      <x:c r="E5" s="2" t="s">
        <x:v>64</x:v>
      </x:c>
      <x:c r="F5" s="2" t="s">
        <x:v>65</x:v>
      </x:c>
      <x:c r="G5" s="2" t="s">
        <x:v>66</x:v>
      </x:c>
      <x:c r="H5" s="2" t="s">
        <x:v>67</x:v>
      </x:c>
      <x:c r="I5" s="2" t="s">
        <x:v>68</x:v>
      </x:c>
      <x:c r="J5" s="2" t="s">
        <x:v>68</x:v>
      </x:c>
      <x:c r="K5" s="2" t="s">
        <x:v>69</x:v>
      </x:c>
      <x:c r="L5" s="2" t="s">
        <x:v>70</x:v>
      </x:c>
      <x:c r="M5" s="2" t="s">
        <x:v>71</x:v>
      </x:c>
      <x:c r="N5" s="2" t="s">
        <x:v>14</x:v>
      </x:c>
      <x:c r="O5" s="2">
        <x:v>51</x:v>
      </x:c>
      <x:c r="P5" s="2" t="s">
        <x:v>13</x:v>
      </x:c>
    </x:row>
    <x:row r="6" ht="15" customHeight="1">
      <x:c r="A6" s="3" t="s">
        <x:v>72</x:v>
      </x:c>
      <x:c r="B6" s="2" t="s">
        <x:v>61</x:v>
      </x:c>
      <x:c r="C6" s="2" t="s">
        <x:v>62</x:v>
      </x:c>
      <x:c r="D6" s="2" t="s">
        <x:v>63</x:v>
      </x:c>
      <x:c r="E6" s="2" t="s">
        <x:v>64</x:v>
      </x:c>
      <x:c r="F6" s="2" t="s">
        <x:v>65</x:v>
      </x:c>
      <x:c r="G6" s="2" t="s">
        <x:v>66</x:v>
      </x:c>
      <x:c r="H6" s="2" t="s">
        <x:v>67</x:v>
      </x:c>
      <x:c r="I6" s="2" t="s">
        <x:v>68</x:v>
      </x:c>
      <x:c r="J6" s="2" t="s">
        <x:v>73</x:v>
      </x:c>
      <x:c r="K6" s="2" t="s">
        <x:v>69</x:v>
      </x:c>
      <x:c r="L6" s="2" t="s">
        <x:v>70</x:v>
      </x:c>
      <x:c r="M6" s="2" t="s">
        <x:v>71</x:v>
      </x:c>
      <x:c r="N6" s="2" t="s">
        <x:v>14</x:v>
      </x:c>
      <x:c r="O6" s="2">
        <x:v>55</x:v>
      </x:c>
      <x:c r="P6" s="2" t="s">
        <x:v>13</x:v>
      </x:c>
    </x:row>
    <x:row r="7" ht="15" customHeight="1">
      <x:c r="A7" s="3" t="s">
        <x:v>72</x:v>
      </x:c>
      <x:c r="B7" s="2" t="s">
        <x:v>61</x:v>
      </x:c>
      <x:c r="C7" s="2" t="s">
        <x:v>62</x:v>
      </x:c>
      <x:c r="D7" s="2" t="s">
        <x:v>63</x:v>
      </x:c>
      <x:c r="E7" s="2" t="s">
        <x:v>64</x:v>
      </x:c>
      <x:c r="F7" s="2" t="s">
        <x:v>65</x:v>
      </x:c>
      <x:c r="G7" s="2" t="s">
        <x:v>66</x:v>
      </x:c>
      <x:c r="H7" s="2" t="s">
        <x:v>67</x:v>
      </x:c>
      <x:c r="I7" s="2" t="s">
        <x:v>74</x:v>
      </x:c>
      <x:c r="J7" s="2" t="s">
        <x:v>73</x:v>
      </x:c>
      <x:c r="K7" s="2" t="s">
        <x:v>69</x:v>
      </x:c>
      <x:c r="L7" s="2" t="s">
        <x:v>70</x:v>
      </x:c>
      <x:c r="M7" s="2" t="s">
        <x:v>71</x:v>
      </x:c>
      <x:c r="N7" s="2" t="s">
        <x:v>14</x:v>
      </x:c>
      <x:c r="O7" s="2">
        <x:v>59</x:v>
      </x:c>
      <x:c r="P7" s="2" t="s">
        <x:v>13</x:v>
      </x:c>
    </x:row>
    <x:row r="8" ht="15" customHeight="1">
      <x:c r="A8" s="3" t="s">
        <x:v>75</x:v>
      </x:c>
      <x:c r="B8" s="2" t="s">
        <x:v>61</x:v>
      </x:c>
      <x:c r="C8" s="2" t="s">
        <x:v>62</x:v>
      </x:c>
      <x:c r="D8" s="2" t="s">
        <x:v>63</x:v>
      </x:c>
      <x:c r="E8" s="2" t="s">
        <x:v>64</x:v>
      </x:c>
      <x:c r="F8" s="2" t="s">
        <x:v>65</x:v>
      </x:c>
      <x:c r="G8" s="2" t="s">
        <x:v>66</x:v>
      </x:c>
      <x:c r="H8" s="2" t="s">
        <x:v>67</x:v>
      </x:c>
      <x:c r="I8" s="2" t="s">
        <x:v>76</x:v>
      </x:c>
      <x:c r="J8" s="2" t="s">
        <x:v>73</x:v>
      </x:c>
      <x:c r="K8" s="2" t="s">
        <x:v>69</x:v>
      </x:c>
      <x:c r="L8" s="2" t="s">
        <x:v>70</x:v>
      </x:c>
      <x:c r="M8" s="2" t="s">
        <x:v>71</x:v>
      </x:c>
      <x:c r="N8" s="2" t="s">
        <x:v>14</x:v>
      </x:c>
      <x:c r="O8" s="2">
        <x:v>65</x:v>
      </x:c>
      <x:c r="P8" s="2" t="s">
        <x:v>13</x:v>
      </x:c>
    </x:row>
    <x:row r="9" ht="26.399999618530273" customHeight="1">
      <x:c r="A9" s="3" t="s">
        <x:v>77</x:v>
      </x:c>
      <x:c r="B9" s="2" t="s">
        <x:v>61</x:v>
      </x:c>
      <x:c r="C9" s="2" t="s">
        <x:v>62</x:v>
      </x:c>
      <x:c r="D9" s="2" t="s">
        <x:v>63</x:v>
      </x:c>
      <x:c r="E9" s="2" t="s">
        <x:v>64</x:v>
      </x:c>
      <x:c r="F9" s="2" t="s">
        <x:v>65</x:v>
      </x:c>
      <x:c r="G9" s="2" t="s">
        <x:v>78</x:v>
      </x:c>
      <x:c r="H9" s="2" t="s">
        <x:v>79</x:v>
      </x:c>
      <x:c r="I9" s="2" t="s">
        <x:v>80</x:v>
      </x:c>
      <x:c r="J9" s="2" t="s">
        <x:v>68</x:v>
      </x:c>
      <x:c r="K9" s="2" t="s">
        <x:v>69</x:v>
      </x:c>
      <x:c r="L9" s="2" t="s">
        <x:v>70</x:v>
      </x:c>
      <x:c r="M9" s="2" t="s">
        <x:v>81</x:v>
      </x:c>
      <x:c r="N9" s="2" t="s">
        <x:v>14</x:v>
      </x:c>
      <x:c r="O9" s="2">
        <x:v>69</x:v>
      </x:c>
      <x:c r="P9" s="2" t="s">
        <x:v>13</x:v>
      </x:c>
    </x:row>
    <x:row r="10" ht="39.599998474121094" customHeight="1">
      <x:c r="A10" s="3" t="s">
        <x:v>82</x:v>
      </x:c>
      <x:c r="B10" s="2" t="s">
        <x:v>61</x:v>
      </x:c>
      <x:c r="C10" s="2" t="s">
        <x:v>62</x:v>
      </x:c>
      <x:c r="D10" s="2" t="s">
        <x:v>83</x:v>
      </x:c>
      <x:c r="E10" s="2" t="s">
        <x:v>84</x:v>
      </x:c>
      <x:c r="F10" s="2" t="s">
        <x:v>85</x:v>
      </x:c>
      <x:c r="G10" s="2" t="s">
        <x:v>66</x:v>
      </x:c>
      <x:c r="H10" s="2" t="s">
        <x:v>67</x:v>
      </x:c>
      <x:c r="I10" s="2" t="s">
        <x:v>68</x:v>
      </x:c>
      <x:c r="J10" s="2" t="s">
        <x:v>73</x:v>
      </x:c>
      <x:c r="K10" s="2" t="s">
        <x:v>69</x:v>
      </x:c>
      <x:c r="L10" s="2" t="s">
        <x:v>86</x:v>
      </x:c>
      <x:c r="M10" s="2" t="s">
        <x:v>87</x:v>
      </x:c>
      <x:c r="N10" s="2" t="s">
        <x:v>14</x:v>
      </x:c>
      <x:c r="O10" s="2">
        <x:v>71</x:v>
      </x:c>
      <x:c r="P10" s="2" t="s">
        <x:v>13</x:v>
      </x:c>
    </x:row>
    <x:row r="11" ht="15" customHeight="1">
      <x:c r="A11" s="3" t="s">
        <x:v>88</x:v>
      </x:c>
      <x:c r="B11" s="2" t="s">
        <x:v>61</x:v>
      </x:c>
      <x:c r="C11" s="2" t="s">
        <x:v>62</x:v>
      </x:c>
      <x:c r="D11" s="2" t="s">
        <x:v>83</x:v>
      </x:c>
      <x:c r="E11" s="2" t="s">
        <x:v>84</x:v>
      </x:c>
      <x:c r="F11" s="2" t="s">
        <x:v>85</x:v>
      </x:c>
      <x:c r="G11" s="2" t="s">
        <x:v>66</x:v>
      </x:c>
      <x:c r="H11" s="2" t="s">
        <x:v>67</x:v>
      </x:c>
      <x:c r="I11" s="2" t="s">
        <x:v>68</x:v>
      </x:c>
      <x:c r="J11" s="2" t="s">
        <x:v>73</x:v>
      </x:c>
      <x:c r="K11" s="2" t="s">
        <x:v>69</x:v>
      </x:c>
      <x:c r="L11" s="2" t="s">
        <x:v>86</x:v>
      </x:c>
      <x:c r="M11" s="2" t="s">
        <x:v>71</x:v>
      </x:c>
      <x:c r="N11" s="2" t="s">
        <x:v>14</x:v>
      </x:c>
      <x:c r="O11" s="2">
        <x:v>73</x:v>
      </x:c>
      <x:c r="P11" s="2" t="s">
        <x:v>13</x:v>
      </x:c>
    </x:row>
    <x:row r="12" ht="39.599998474121094" customHeight="1">
      <x:c r="A12" s="3" t="s">
        <x:v>89</x:v>
      </x:c>
      <x:c r="B12" s="2" t="s">
        <x:v>61</x:v>
      </x:c>
      <x:c r="C12" s="2" t="s">
        <x:v>62</x:v>
      </x:c>
      <x:c r="D12" s="2" t="s">
        <x:v>83</x:v>
      </x:c>
      <x:c r="E12" s="2" t="s">
        <x:v>84</x:v>
      </x:c>
      <x:c r="F12" s="2" t="s">
        <x:v>85</x:v>
      </x:c>
      <x:c r="G12" s="2" t="s">
        <x:v>66</x:v>
      </x:c>
      <x:c r="H12" s="2" t="s">
        <x:v>67</x:v>
      </x:c>
      <x:c r="I12" s="2" t="s">
        <x:v>68</x:v>
      </x:c>
      <x:c r="J12" s="2" t="s">
        <x:v>73</x:v>
      </x:c>
      <x:c r="K12" s="2" t="s">
        <x:v>69</x:v>
      </x:c>
      <x:c r="L12" s="2" t="s">
        <x:v>86</x:v>
      </x:c>
      <x:c r="M12" s="2" t="s">
        <x:v>87</x:v>
      </x:c>
      <x:c r="N12" s="2" t="s">
        <x:v>14</x:v>
      </x:c>
      <x:c r="O12" s="2">
        <x:v>79</x:v>
      </x:c>
      <x:c r="P12" s="2" t="s">
        <x:v>13</x:v>
      </x:c>
    </x:row>
    <x:row r="13" ht="26.399999618530273" customHeight="1">
      <x:c r="A13" s="3" t="s">
        <x:v>90</x:v>
      </x:c>
      <x:c r="B13" s="2" t="s">
        <x:v>61</x:v>
      </x:c>
      <x:c r="C13" s="2" t="s">
        <x:v>62</x:v>
      </x:c>
      <x:c r="D13" s="2" t="s">
        <x:v>91</x:v>
      </x:c>
      <x:c r="E13" s="2" t="s">
        <x:v>92</x:v>
      </x:c>
      <x:c r="F13" s="2" t="s">
        <x:v>93</x:v>
      </x:c>
      <x:c r="G13" s="2" t="s">
        <x:v>78</x:v>
      </x:c>
      <x:c r="H13" s="2" t="s">
        <x:v>79</x:v>
      </x:c>
      <x:c r="I13" s="2" t="s">
        <x:v>94</x:v>
      </x:c>
      <x:c r="J13" s="2" t="s">
        <x:v>68</x:v>
      </x:c>
      <x:c r="K13" s="2" t="s">
        <x:v>69</x:v>
      </x:c>
      <x:c r="L13" s="2" t="s">
        <x:v>95</x:v>
      </x:c>
      <x:c r="M13" s="2" t="s">
        <x:v>96</x:v>
      </x:c>
      <x:c r="N13" s="2" t="s">
        <x:v>14</x:v>
      </x:c>
      <x:c r="O13" s="2">
        <x:v>83</x:v>
      </x:c>
      <x:c r="P13" s="2" t="s">
        <x:v>13</x:v>
      </x:c>
    </x:row>
    <x:row r="14" ht="26.399999618530273" customHeight="1">
      <x:c r="A14" s="3" t="s">
        <x:v>97</x:v>
      </x:c>
      <x:c r="B14" s="2" t="s">
        <x:v>61</x:v>
      </x:c>
      <x:c r="C14" s="2" t="s">
        <x:v>62</x:v>
      </x:c>
      <x:c r="D14" s="2" t="s">
        <x:v>91</x:v>
      </x:c>
      <x:c r="E14" s="2" t="s">
        <x:v>92</x:v>
      </x:c>
      <x:c r="F14" s="2" t="s">
        <x:v>93</x:v>
      </x:c>
      <x:c r="G14" s="2" t="s">
        <x:v>78</x:v>
      </x:c>
      <x:c r="H14" s="2" t="s">
        <x:v>79</x:v>
      </x:c>
      <x:c r="I14" s="2" t="s">
        <x:v>94</x:v>
      </x:c>
      <x:c r="J14" s="2" t="s">
        <x:v>68</x:v>
      </x:c>
      <x:c r="K14" s="2" t="s">
        <x:v>69</x:v>
      </x:c>
      <x:c r="L14" s="2" t="s">
        <x:v>95</x:v>
      </x:c>
      <x:c r="M14" s="2" t="s">
        <x:v>98</x:v>
      </x:c>
      <x:c r="N14" s="2" t="s">
        <x:v>14</x:v>
      </x:c>
      <x:c r="O14" s="2">
        <x:v>85</x:v>
      </x:c>
      <x:c r="P14" s="2" t="s">
        <x:v>13</x:v>
      </x:c>
    </x:row>
    <x:row r="15" ht="15" customHeight="1">
      <x:c r="A15" s="3" t="s">
        <x:v>99</x:v>
      </x:c>
      <x:c r="B15" s="2" t="s">
        <x:v>61</x:v>
      </x:c>
      <x:c r="C15" s="2" t="s">
        <x:v>62</x:v>
      </x:c>
      <x:c r="D15" s="2" t="s">
        <x:v>91</x:v>
      </x:c>
      <x:c r="E15" s="2" t="s">
        <x:v>92</x:v>
      </x:c>
      <x:c r="F15" s="2" t="s">
        <x:v>93</x:v>
      </x:c>
      <x:c r="G15" s="2" t="s">
        <x:v>78</x:v>
      </x:c>
      <x:c r="H15" s="2" t="s">
        <x:v>79</x:v>
      </x:c>
      <x:c r="I15" s="2" t="s">
        <x:v>94</x:v>
      </x:c>
      <x:c r="J15" s="2" t="s">
        <x:v>68</x:v>
      </x:c>
      <x:c r="K15" s="2" t="s">
        <x:v>69</x:v>
      </x:c>
      <x:c r="L15" s="2" t="s">
        <x:v>95</x:v>
      </x:c>
      <x:c r="M15" s="2" t="s">
        <x:v>100</x:v>
      </x:c>
      <x:c r="N15" s="2" t="s">
        <x:v>14</x:v>
      </x:c>
      <x:c r="O15" s="2">
        <x:v>87</x:v>
      </x:c>
      <x:c r="P15" s="2" t="s">
        <x:v>13</x:v>
      </x:c>
    </x:row>
    <x:row r="16" ht="15" customHeight="1">
      <x:c r="A16" s="3" t="s">
        <x:v>101</x:v>
      </x:c>
      <x:c r="B16" s="2" t="s">
        <x:v>61</x:v>
      </x:c>
      <x:c r="C16" s="2" t="s">
        <x:v>62</x:v>
      </x:c>
      <x:c r="D16" s="2" t="s">
        <x:v>91</x:v>
      </x:c>
      <x:c r="E16" s="2" t="s">
        <x:v>92</x:v>
      </x:c>
      <x:c r="F16" s="2" t="s">
        <x:v>93</x:v>
      </x:c>
      <x:c r="G16" s="2" t="s">
        <x:v>78</x:v>
      </x:c>
      <x:c r="H16" s="2" t="s">
        <x:v>79</x:v>
      </x:c>
      <x:c r="I16" s="2" t="s">
        <x:v>94</x:v>
      </x:c>
      <x:c r="J16" s="2" t="s">
        <x:v>68</x:v>
      </x:c>
      <x:c r="K16" s="2" t="s">
        <x:v>69</x:v>
      </x:c>
      <x:c r="L16" s="2" t="s">
        <x:v>95</x:v>
      </x:c>
      <x:c r="M16" s="2" t="s">
        <x:v>100</x:v>
      </x:c>
      <x:c r="N16" s="2" t="s">
        <x:v>14</x:v>
      </x:c>
      <x:c r="O16" s="2">
        <x:v>89</x:v>
      </x:c>
      <x:c r="P16" s="2" t="s">
        <x:v>13</x:v>
      </x:c>
    </x:row>
    <x:row r="17" ht="15" customHeight="1">
      <x:c r="A17" s="3" t="s">
        <x:v>102</x:v>
      </x:c>
      <x:c r="B17" s="2" t="s">
        <x:v>61</x:v>
      </x:c>
      <x:c r="C17" s="2" t="s">
        <x:v>62</x:v>
      </x:c>
      <x:c r="D17" s="2" t="s">
        <x:v>91</x:v>
      </x:c>
      <x:c r="E17" s="2" t="s">
        <x:v>92</x:v>
      </x:c>
      <x:c r="F17" s="2" t="s">
        <x:v>93</x:v>
      </x:c>
      <x:c r="G17" s="2" t="s">
        <x:v>78</x:v>
      </x:c>
      <x:c r="H17" s="2" t="s">
        <x:v>79</x:v>
      </x:c>
      <x:c r="I17" s="2" t="s">
        <x:v>94</x:v>
      </x:c>
      <x:c r="J17" s="2" t="s">
        <x:v>68</x:v>
      </x:c>
      <x:c r="K17" s="2" t="s">
        <x:v>69</x:v>
      </x:c>
      <x:c r="L17" s="2" t="s">
        <x:v>95</x:v>
      </x:c>
      <x:c r="M17" s="2" t="s">
        <x:v>100</x:v>
      </x:c>
      <x:c r="N17" s="2" t="s">
        <x:v>14</x:v>
      </x:c>
      <x:c r="O17" s="2">
        <x:v>91</x:v>
      </x:c>
      <x:c r="P17" s="2" t="s">
        <x:v>13</x:v>
      </x:c>
    </x:row>
    <x:row r="18" ht="26.399999618530273" customHeight="1">
      <x:c r="A18" s="3" t="s">
        <x:v>103</x:v>
      </x:c>
      <x:c r="B18" s="2" t="s">
        <x:v>61</x:v>
      </x:c>
      <x:c r="C18" s="2" t="s">
        <x:v>62</x:v>
      </x:c>
      <x:c r="D18" s="2" t="s">
        <x:v>91</x:v>
      </x:c>
      <x:c r="E18" s="2" t="s">
        <x:v>92</x:v>
      </x:c>
      <x:c r="F18" s="2" t="s">
        <x:v>93</x:v>
      </x:c>
      <x:c r="G18" s="2" t="s">
        <x:v>78</x:v>
      </x:c>
      <x:c r="H18" s="2" t="s">
        <x:v>79</x:v>
      </x:c>
      <x:c r="I18" s="2" t="s">
        <x:v>94</x:v>
      </x:c>
      <x:c r="J18" s="2" t="s">
        <x:v>68</x:v>
      </x:c>
      <x:c r="K18" s="2" t="s">
        <x:v>69</x:v>
      </x:c>
      <x:c r="L18" s="2" t="s">
        <x:v>95</x:v>
      </x:c>
      <x:c r="M18" s="2" t="s">
        <x:v>104</x:v>
      </x:c>
      <x:c r="N18" s="2" t="s">
        <x:v>14</x:v>
      </x:c>
      <x:c r="O18" s="2">
        <x:v>93</x:v>
      </x:c>
      <x:c r="P18" s="2" t="s">
        <x:v>13</x:v>
      </x:c>
    </x:row>
    <x:row r="19" ht="39.599998474121094" customHeight="1">
      <x:c r="A19" s="3" t="s">
        <x:v>105</x:v>
      </x:c>
      <x:c r="B19" s="2" t="s">
        <x:v>61</x:v>
      </x:c>
      <x:c r="C19" s="2" t="s">
        <x:v>62</x:v>
      </x:c>
      <x:c r="D19" s="2" t="s">
        <x:v>91</x:v>
      </x:c>
      <x:c r="E19" s="2" t="s">
        <x:v>92</x:v>
      </x:c>
      <x:c r="F19" s="2" t="s">
        <x:v>93</x:v>
      </x:c>
      <x:c r="G19" s="2" t="s">
        <x:v>66</x:v>
      </x:c>
      <x:c r="H19" s="2" t="s">
        <x:v>67</x:v>
      </x:c>
      <x:c r="I19" s="2" t="s">
        <x:v>68</x:v>
      </x:c>
      <x:c r="J19" s="2" t="s">
        <x:v>73</x:v>
      </x:c>
      <x:c r="K19" s="2" t="s">
        <x:v>69</x:v>
      </x:c>
      <x:c r="L19" s="2" t="s">
        <x:v>95</x:v>
      </x:c>
      <x:c r="M19" s="2" t="s">
        <x:v>106</x:v>
      </x:c>
      <x:c r="N19" s="2" t="s">
        <x:v>14</x:v>
      </x:c>
      <x:c r="O19" s="2">
        <x:v>95</x:v>
      </x:c>
      <x:c r="P19" s="2" t="s">
        <x:v>13</x:v>
      </x:c>
    </x:row>
    <x:row r="20" ht="15" customHeight="1">
      <x:c r="A20" s="3" t="s">
        <x:v>107</x:v>
      </x:c>
      <x:c r="B20" s="2" t="s">
        <x:v>61</x:v>
      </x:c>
      <x:c r="C20" s="2" t="s">
        <x:v>62</x:v>
      </x:c>
      <x:c r="D20" s="2" t="s">
        <x:v>91</x:v>
      </x:c>
      <x:c r="E20" s="2" t="s">
        <x:v>92</x:v>
      </x:c>
      <x:c r="F20" s="2" t="s">
        <x:v>93</x:v>
      </x:c>
      <x:c r="G20" s="2" t="s">
        <x:v>66</x:v>
      </x:c>
      <x:c r="H20" s="2" t="s">
        <x:v>67</x:v>
      </x:c>
      <x:c r="I20" s="2" t="s">
        <x:v>68</x:v>
      </x:c>
      <x:c r="J20" s="2" t="s">
        <x:v>73</x:v>
      </x:c>
      <x:c r="K20" s="2" t="s">
        <x:v>69</x:v>
      </x:c>
      <x:c r="L20" s="2" t="s">
        <x:v>95</x:v>
      </x:c>
      <x:c r="M20" s="2" t="s">
        <x:v>108</x:v>
      </x:c>
      <x:c r="N20" s="2" t="s">
        <x:v>14</x:v>
      </x:c>
      <x:c r="O20" s="2">
        <x:v>97</x:v>
      </x:c>
      <x:c r="P20" s="2" t="s">
        <x:v>13</x:v>
      </x:c>
    </x:row>
    <x:row r="21" ht="15" customHeight="1">
      <x:c r="A21" s="3" t="s">
        <x:v>109</x:v>
      </x:c>
      <x:c r="B21" s="2" t="s">
        <x:v>61</x:v>
      </x:c>
      <x:c r="C21" s="2" t="s">
        <x:v>62</x:v>
      </x:c>
      <x:c r="D21" s="2" t="s">
        <x:v>91</x:v>
      </x:c>
      <x:c r="E21" s="2" t="s">
        <x:v>92</x:v>
      </x:c>
      <x:c r="F21" s="2" t="s">
        <x:v>93</x:v>
      </x:c>
      <x:c r="G21" s="2" t="s">
        <x:v>66</x:v>
      </x:c>
      <x:c r="H21" s="2" t="s">
        <x:v>67</x:v>
      </x:c>
      <x:c r="I21" s="2" t="s">
        <x:v>68</x:v>
      </x:c>
      <x:c r="J21" s="2" t="s">
        <x:v>73</x:v>
      </x:c>
      <x:c r="K21" s="2" t="s">
        <x:v>69</x:v>
      </x:c>
      <x:c r="L21" s="2" t="s">
        <x:v>95</x:v>
      </x:c>
      <x:c r="M21" s="2" t="s">
        <x:v>108</x:v>
      </x:c>
      <x:c r="N21" s="2" t="s">
        <x:v>14</x:v>
      </x:c>
      <x:c r="O21" s="2">
        <x:v>99</x:v>
      </x:c>
      <x:c r="P21" s="2" t="s">
        <x:v>13</x:v>
      </x:c>
    </x:row>
    <x:row r="22" ht="15" customHeight="1">
      <x:c r="A22" s="3" t="s">
        <x:v>110</x:v>
      </x:c>
      <x:c r="B22" s="2" t="s">
        <x:v>61</x:v>
      </x:c>
      <x:c r="C22" s="2" t="s">
        <x:v>62</x:v>
      </x:c>
      <x:c r="D22" s="2" t="s">
        <x:v>91</x:v>
      </x:c>
      <x:c r="E22" s="2" t="s">
        <x:v>92</x:v>
      </x:c>
      <x:c r="F22" s="2" t="s">
        <x:v>93</x:v>
      </x:c>
      <x:c r="G22" s="2" t="s">
        <x:v>66</x:v>
      </x:c>
      <x:c r="H22" s="2" t="s">
        <x:v>67</x:v>
      </x:c>
      <x:c r="I22" s="2" t="s">
        <x:v>68</x:v>
      </x:c>
      <x:c r="J22" s="2" t="s">
        <x:v>73</x:v>
      </x:c>
      <x:c r="K22" s="2" t="s">
        <x:v>69</x:v>
      </x:c>
      <x:c r="L22" s="2" t="s">
        <x:v>95</x:v>
      </x:c>
      <x:c r="M22" s="2" t="s">
        <x:v>108</x:v>
      </x:c>
      <x:c r="N22" s="2" t="s">
        <x:v>14</x:v>
      </x:c>
      <x:c r="O22" s="2">
        <x:v>101</x:v>
      </x:c>
      <x:c r="P22" s="2" t="s">
        <x:v>13</x:v>
      </x:c>
    </x:row>
    <x:row r="23" ht="15" customHeight="1">
      <x:c r="A23" s="3" t="s">
        <x:v>111</x:v>
      </x:c>
      <x:c r="B23" s="2" t="s">
        <x:v>61</x:v>
      </x:c>
      <x:c r="C23" s="2" t="s">
        <x:v>62</x:v>
      </x:c>
      <x:c r="D23" s="2" t="s">
        <x:v>91</x:v>
      </x:c>
      <x:c r="E23" s="2" t="s">
        <x:v>92</x:v>
      </x:c>
      <x:c r="F23" s="2" t="s">
        <x:v>93</x:v>
      </x:c>
      <x:c r="G23" s="2" t="s">
        <x:v>66</x:v>
      </x:c>
      <x:c r="H23" s="2" t="s">
        <x:v>67</x:v>
      </x:c>
      <x:c r="I23" s="2" t="s">
        <x:v>68</x:v>
      </x:c>
      <x:c r="J23" s="2" t="s">
        <x:v>73</x:v>
      </x:c>
      <x:c r="K23" s="2" t="s">
        <x:v>69</x:v>
      </x:c>
      <x:c r="L23" s="2" t="s">
        <x:v>95</x:v>
      </x:c>
      <x:c r="M23" s="2" t="s">
        <x:v>108</x:v>
      </x:c>
      <x:c r="N23" s="2" t="s">
        <x:v>14</x:v>
      </x:c>
      <x:c r="O23" s="2">
        <x:v>103</x:v>
      </x:c>
      <x:c r="P23" s="2" t="s">
        <x:v>13</x:v>
      </x:c>
    </x:row>
    <x:row r="24" ht="39.599998474121094" customHeight="1">
      <x:c r="A24" s="3" t="s">
        <x:v>112</x:v>
      </x:c>
      <x:c r="B24" s="2" t="s">
        <x:v>61</x:v>
      </x:c>
      <x:c r="C24" s="2" t="s">
        <x:v>62</x:v>
      </x:c>
      <x:c r="D24" s="2" t="s">
        <x:v>91</x:v>
      </x:c>
      <x:c r="E24" s="2" t="s">
        <x:v>92</x:v>
      </x:c>
      <x:c r="F24" s="2" t="s">
        <x:v>93</x:v>
      </x:c>
      <x:c r="G24" s="2" t="s">
        <x:v>66</x:v>
      </x:c>
      <x:c r="H24" s="2" t="s">
        <x:v>67</x:v>
      </x:c>
      <x:c r="I24" s="2" t="s">
        <x:v>68</x:v>
      </x:c>
      <x:c r="J24" s="2" t="s">
        <x:v>73</x:v>
      </x:c>
      <x:c r="K24" s="2" t="s">
        <x:v>69</x:v>
      </x:c>
      <x:c r="L24" s="2" t="s">
        <x:v>95</x:v>
      </x:c>
      <x:c r="M24" s="2" t="s">
        <x:v>113</x:v>
      </x:c>
      <x:c r="N24" s="2" t="s">
        <x:v>14</x:v>
      </x:c>
      <x:c r="O24" s="2">
        <x:v>105</x:v>
      </x:c>
      <x:c r="P24" s="2" t="s">
        <x:v>13</x:v>
      </x:c>
    </x:row>
    <x:row r="25" ht="15" customHeight="1">
      <x:c r="A25" s="3" t="s">
        <x:v>114</x:v>
      </x:c>
      <x:c r="B25" s="2" t="s">
        <x:v>61</x:v>
      </x:c>
      <x:c r="C25" s="2" t="s">
        <x:v>62</x:v>
      </x:c>
      <x:c r="D25" s="2" t="s">
        <x:v>115</x:v>
      </x:c>
      <x:c r="E25" s="2" t="s">
        <x:v>116</x:v>
      </x:c>
      <x:c r="F25" s="2" t="s">
        <x:v>117</x:v>
      </x:c>
      <x:c r="G25" s="2" t="s">
        <x:v>78</x:v>
      </x:c>
      <x:c r="H25" s="2" t="s">
        <x:v>79</x:v>
      </x:c>
      <x:c r="I25" s="2" t="s">
        <x:v>118</x:v>
      </x:c>
      <x:c r="J25" s="2" t="s">
        <x:v>76</x:v>
      </x:c>
      <x:c r="K25" s="2" t="s">
        <x:v>69</x:v>
      </x:c>
      <x:c r="L25" s="2" t="s">
        <x:v>119</x:v>
      </x:c>
      <x:c r="M25" s="2" t="s">
        <x:v>120</x:v>
      </x:c>
      <x:c r="N25" s="2" t="s">
        <x:v>14</x:v>
      </x:c>
      <x:c r="O25" s="2">
        <x:v>107</x:v>
      </x:c>
      <x:c r="P25" s="2" t="s">
        <x:v>13</x:v>
      </x:c>
    </x:row>
    <x:row r="26" ht="39.599998474121094" customHeight="1">
      <x:c r="A26" s="3" t="s">
        <x:v>121</x:v>
      </x:c>
      <x:c r="B26" s="2" t="s">
        <x:v>61</x:v>
      </x:c>
      <x:c r="C26" s="2" t="s">
        <x:v>62</x:v>
      </x:c>
      <x:c r="D26" s="2" t="s">
        <x:v>115</x:v>
      </x:c>
      <x:c r="E26" s="2" t="s">
        <x:v>116</x:v>
      </x:c>
      <x:c r="F26" s="2" t="s">
        <x:v>117</x:v>
      </x:c>
      <x:c r="G26" s="2" t="s">
        <x:v>66</x:v>
      </x:c>
      <x:c r="H26" s="2" t="s">
        <x:v>67</x:v>
      </x:c>
      <x:c r="I26" s="2" t="s">
        <x:v>68</x:v>
      </x:c>
      <x:c r="J26" s="2" t="s">
        <x:v>122</x:v>
      </x:c>
      <x:c r="K26" s="2" t="s">
        <x:v>69</x:v>
      </x:c>
      <x:c r="L26" s="2" t="s">
        <x:v>119</x:v>
      </x:c>
      <x:c r="M26" s="2" t="s">
        <x:v>123</x:v>
      </x:c>
      <x:c r="N26" s="2" t="s">
        <x:v>14</x:v>
      </x:c>
      <x:c r="O26" s="2">
        <x:v>111</x:v>
      </x:c>
      <x:c r="P26" s="2" t="s">
        <x:v>13</x:v>
      </x:c>
    </x:row>
    <x:row r="27" ht="15" customHeight="1">
      <x:c r="A27" s="3" t="s">
        <x:v>124</x:v>
      </x:c>
      <x:c r="B27" s="2" t="s">
        <x:v>61</x:v>
      </x:c>
      <x:c r="C27" s="2" t="s">
        <x:v>62</x:v>
      </x:c>
      <x:c r="D27" s="2" t="s">
        <x:v>115</x:v>
      </x:c>
      <x:c r="E27" s="2" t="s">
        <x:v>116</x:v>
      </x:c>
      <x:c r="F27" s="2" t="s">
        <x:v>117</x:v>
      </x:c>
      <x:c r="G27" s="2" t="s">
        <x:v>66</x:v>
      </x:c>
      <x:c r="H27" s="2" t="s">
        <x:v>67</x:v>
      </x:c>
      <x:c r="I27" s="2" t="s">
        <x:v>76</x:v>
      </x:c>
      <x:c r="J27" s="2" t="s">
        <x:v>118</x:v>
      </x:c>
      <x:c r="K27" s="2" t="s">
        <x:v>69</x:v>
      </x:c>
      <x:c r="L27" s="2" t="s">
        <x:v>119</x:v>
      </x:c>
      <x:c r="M27" s="2" t="s">
        <x:v>71</x:v>
      </x:c>
      <x:c r="N27" s="2" t="s">
        <x:v>14</x:v>
      </x:c>
      <x:c r="O27" s="2">
        <x:v>113</x:v>
      </x:c>
      <x:c r="P27" s="2" t="s">
        <x:v>13</x:v>
      </x:c>
    </x:row>
    <x:row r="28" ht="15" customHeight="1">
      <x:c r="A28" s="3" t="s">
        <x:v>125</x:v>
      </x:c>
      <x:c r="B28" s="2" t="s">
        <x:v>61</x:v>
      </x:c>
      <x:c r="C28" s="2" t="s">
        <x:v>62</x:v>
      </x:c>
      <x:c r="D28" s="2" t="s">
        <x:v>115</x:v>
      </x:c>
      <x:c r="E28" s="2" t="s">
        <x:v>116</x:v>
      </x:c>
      <x:c r="F28" s="2" t="s">
        <x:v>117</x:v>
      </x:c>
      <x:c r="G28" s="2" t="s">
        <x:v>66</x:v>
      </x:c>
      <x:c r="H28" s="2" t="s">
        <x:v>67</x:v>
      </x:c>
      <x:c r="I28" s="2" t="s">
        <x:v>76</x:v>
      </x:c>
      <x:c r="J28" s="2" t="s">
        <x:v>118</x:v>
      </x:c>
      <x:c r="K28" s="2" t="s">
        <x:v>69</x:v>
      </x:c>
      <x:c r="L28" s="2" t="s">
        <x:v>119</x:v>
      </x:c>
      <x:c r="M28" s="2" t="s">
        <x:v>71</x:v>
      </x:c>
      <x:c r="N28" s="2" t="s">
        <x:v>14</x:v>
      </x:c>
      <x:c r="O28" s="2">
        <x:v>117</x:v>
      </x:c>
      <x:c r="P28" s="2" t="s">
        <x:v>13</x:v>
      </x:c>
    </x:row>
    <x:row r="29" ht="26.399999618530273" customHeight="1">
      <x:c r="A29" s="3" t="s">
        <x:v>126</x:v>
      </x:c>
      <x:c r="B29" s="2" t="s">
        <x:v>127</x:v>
      </x:c>
      <x:c r="C29" s="2" t="s">
        <x:v>128</x:v>
      </x:c>
      <x:c r="D29" s="2" t="s">
        <x:v>91</x:v>
      </x:c>
      <x:c r="E29" s="2" t="s">
        <x:v>129</x:v>
      </x:c>
      <x:c r="F29" s="2" t="s">
        <x:v>130</x:v>
      </x:c>
      <x:c r="G29" s="2" t="s">
        <x:v>78</x:v>
      </x:c>
      <x:c r="H29" s="2" t="s">
        <x:v>79</x:v>
      </x:c>
      <x:c r="I29" s="2" t="s">
        <x:v>94</x:v>
      </x:c>
      <x:c r="J29" s="2" t="s">
        <x:v>68</x:v>
      </x:c>
      <x:c r="K29" s="2" t="s">
        <x:v>69</x:v>
      </x:c>
      <x:c r="L29" s="2" t="s">
        <x:v>131</x:v>
      </x:c>
      <x:c r="M29" s="2" t="s">
        <x:v>132</x:v>
      </x:c>
      <x:c r="N29" s="2" t="s">
        <x:v>14</x:v>
      </x:c>
      <x:c r="O29" s="2">
        <x:v>137</x:v>
      </x:c>
      <x:c r="P29" s="2" t="s">
        <x:v>13</x:v>
      </x:c>
    </x:row>
    <x:row r="30" ht="26.399999618530273" customHeight="1">
      <x:c r="A30" s="3" t="s">
        <x:v>133</x:v>
      </x:c>
      <x:c r="B30" s="2" t="s">
        <x:v>127</x:v>
      </x:c>
      <x:c r="C30" s="2" t="s">
        <x:v>128</x:v>
      </x:c>
      <x:c r="D30" s="2" t="s">
        <x:v>91</x:v>
      </x:c>
      <x:c r="E30" s="2" t="s">
        <x:v>129</x:v>
      </x:c>
      <x:c r="F30" s="2" t="s">
        <x:v>130</x:v>
      </x:c>
      <x:c r="G30" s="2" t="s">
        <x:v>78</x:v>
      </x:c>
      <x:c r="H30" s="2" t="s">
        <x:v>79</x:v>
      </x:c>
      <x:c r="I30" s="2" t="s">
        <x:v>94</x:v>
      </x:c>
      <x:c r="J30" s="2" t="s">
        <x:v>68</x:v>
      </x:c>
      <x:c r="K30" s="2" t="s">
        <x:v>69</x:v>
      </x:c>
      <x:c r="L30" s="2" t="s">
        <x:v>131</x:v>
      </x:c>
      <x:c r="M30" s="2" t="s">
        <x:v>134</x:v>
      </x:c>
      <x:c r="N30" s="2" t="s">
        <x:v>14</x:v>
      </x:c>
      <x:c r="O30" s="2">
        <x:v>139</x:v>
      </x:c>
      <x:c r="P30" s="2" t="s">
        <x:v>13</x:v>
      </x:c>
    </x:row>
    <x:row r="31" ht="26.399999618530273" customHeight="1">
      <x:c r="A31" s="3" t="s">
        <x:v>135</x:v>
      </x:c>
      <x:c r="B31" s="2" t="s">
        <x:v>127</x:v>
      </x:c>
      <x:c r="C31" s="2" t="s">
        <x:v>128</x:v>
      </x:c>
      <x:c r="D31" s="2" t="s">
        <x:v>91</x:v>
      </x:c>
      <x:c r="E31" s="2" t="s">
        <x:v>136</x:v>
      </x:c>
      <x:c r="F31" s="2" t="s">
        <x:v>130</x:v>
      </x:c>
      <x:c r="G31" s="2" t="s">
        <x:v>66</x:v>
      </x:c>
      <x:c r="H31" s="2" t="s">
        <x:v>67</x:v>
      </x:c>
      <x:c r="I31" s="2" t="s">
        <x:v>68</x:v>
      </x:c>
      <x:c r="J31" s="2" t="s">
        <x:v>94</x:v>
      </x:c>
      <x:c r="K31" s="2" t="s">
        <x:v>69</x:v>
      </x:c>
      <x:c r="L31" s="2" t="s">
        <x:v>137</x:v>
      </x:c>
      <x:c r="M31" s="2" t="s">
        <x:v>138</x:v>
      </x:c>
      <x:c r="N31" s="2" t="s">
        <x:v>14</x:v>
      </x:c>
      <x:c r="O31" s="2">
        <x:v>141</x:v>
      </x:c>
      <x:c r="P31" s="2" t="s">
        <x:v>13</x:v>
      </x:c>
    </x:row>
    <x:row r="32" ht="26.399999618530273" customHeight="1">
      <x:c r="A32" s="3" t="s">
        <x:v>139</x:v>
      </x:c>
      <x:c r="B32" s="2" t="s">
        <x:v>127</x:v>
      </x:c>
      <x:c r="C32" s="2" t="s">
        <x:v>128</x:v>
      </x:c>
      <x:c r="D32" s="2" t="s">
        <x:v>91</x:v>
      </x:c>
      <x:c r="E32" s="2" t="s">
        <x:v>136</x:v>
      </x:c>
      <x:c r="F32" s="2" t="s">
        <x:v>130</x:v>
      </x:c>
      <x:c r="G32" s="2" t="s">
        <x:v>66</x:v>
      </x:c>
      <x:c r="H32" s="2" t="s">
        <x:v>67</x:v>
      </x:c>
      <x:c r="I32" s="2" t="s">
        <x:v>68</x:v>
      </x:c>
      <x:c r="J32" s="2" t="s">
        <x:v>94</x:v>
      </x:c>
      <x:c r="K32" s="2" t="s">
        <x:v>69</x:v>
      </x:c>
      <x:c r="L32" s="2" t="s">
        <x:v>137</x:v>
      </x:c>
      <x:c r="M32" s="2" t="s">
        <x:v>138</x:v>
      </x:c>
      <x:c r="N32" s="2" t="s">
        <x:v>14</x:v>
      </x:c>
      <x:c r="O32" s="2">
        <x:v>143</x:v>
      </x:c>
      <x:c r="P32" s="2" t="s">
        <x:v>13</x:v>
      </x:c>
    </x:row>
    <x:row r="33" ht="26.399999618530273" customHeight="1">
      <x:c r="A33" s="3" t="s">
        <x:v>140</x:v>
      </x:c>
      <x:c r="B33" s="2" t="s">
        <x:v>127</x:v>
      </x:c>
      <x:c r="C33" s="2" t="s">
        <x:v>128</x:v>
      </x:c>
      <x:c r="D33" s="2" t="s">
        <x:v>91</x:v>
      </x:c>
      <x:c r="E33" s="2" t="s">
        <x:v>141</x:v>
      </x:c>
      <x:c r="F33" s="2" t="s">
        <x:v>130</x:v>
      </x:c>
      <x:c r="G33" s="2" t="s">
        <x:v>66</x:v>
      </x:c>
      <x:c r="H33" s="2" t="s">
        <x:v>67</x:v>
      </x:c>
      <x:c r="I33" s="2" t="s">
        <x:v>76</x:v>
      </x:c>
      <x:c r="J33" s="2" t="s">
        <x:v>73</x:v>
      </x:c>
      <x:c r="K33" s="2" t="s">
        <x:v>69</x:v>
      </x:c>
      <x:c r="L33" s="2" t="s">
        <x:v>142</x:v>
      </x:c>
      <x:c r="M33" s="2" t="s">
        <x:v>71</x:v>
      </x:c>
      <x:c r="N33" s="2" t="s">
        <x:v>14</x:v>
      </x:c>
      <x:c r="O33" s="2">
        <x:v>145</x:v>
      </x:c>
      <x:c r="P33" s="2" t="s">
        <x:v>13</x:v>
      </x:c>
    </x:row>
    <x:row r="34" ht="26.399999618530273" customHeight="1">
      <x:c r="A34" s="3" t="s">
        <x:v>143</x:v>
      </x:c>
      <x:c r="B34" s="2" t="s">
        <x:v>127</x:v>
      </x:c>
      <x:c r="C34" s="2" t="s">
        <x:v>128</x:v>
      </x:c>
      <x:c r="D34" s="2" t="s">
        <x:v>91</x:v>
      </x:c>
      <x:c r="E34" s="2" t="s">
        <x:v>141</x:v>
      </x:c>
      <x:c r="F34" s="2" t="s">
        <x:v>130</x:v>
      </x:c>
      <x:c r="G34" s="2" t="s">
        <x:v>66</x:v>
      </x:c>
      <x:c r="H34" s="2" t="s">
        <x:v>67</x:v>
      </x:c>
      <x:c r="I34" s="2" t="s">
        <x:v>68</x:v>
      </x:c>
      <x:c r="J34" s="2" t="s">
        <x:v>73</x:v>
      </x:c>
      <x:c r="K34" s="2" t="s">
        <x:v>144</x:v>
      </x:c>
      <x:c r="L34" s="2" t="s">
        <x:v>142</x:v>
      </x:c>
      <x:c r="M34" s="2" t="s">
        <x:v>145</x:v>
      </x:c>
      <x:c r="N34" s="2" t="s">
        <x:v>14</x:v>
      </x:c>
      <x:c r="O34" s="2">
        <x:v>149</x:v>
      </x:c>
      <x:c r="P34" s="2" t="s">
        <x:v>13</x:v>
      </x:c>
    </x:row>
    <x:row r="35" ht="15" customHeight="1">
      <x:c r="A35" s="3" t="s">
        <x:v>146</x:v>
      </x:c>
      <x:c r="B35" s="2" t="s">
        <x:v>127</x:v>
      </x:c>
      <x:c r="C35" s="2" t="s">
        <x:v>128</x:v>
      </x:c>
      <x:c r="D35" s="2" t="s">
        <x:v>91</x:v>
      </x:c>
      <x:c r="E35" s="2" t="s">
        <x:v>147</x:v>
      </x:c>
      <x:c r="F35" s="2" t="s">
        <x:v>130</x:v>
      </x:c>
      <x:c r="G35" s="2" t="s">
        <x:v>66</x:v>
      </x:c>
      <x:c r="H35" s="2" t="s">
        <x:v>67</x:v>
      </x:c>
      <x:c r="I35" s="2" t="s">
        <x:v>68</x:v>
      </x:c>
      <x:c r="J35" s="2" t="s">
        <x:v>73</x:v>
      </x:c>
      <x:c r="K35" s="2" t="s">
        <x:v>69</x:v>
      </x:c>
      <x:c r="L35" s="2" t="s">
        <x:v>148</x:v>
      </x:c>
      <x:c r="M35" s="2" t="s">
        <x:v>71</x:v>
      </x:c>
      <x:c r="N35" s="2" t="s">
        <x:v>14</x:v>
      </x:c>
      <x:c r="O35" s="2">
        <x:v>151</x:v>
      </x:c>
      <x:c r="P35" s="2" t="s">
        <x:v>13</x:v>
      </x:c>
    </x:row>
    <x:row r="36" ht="15" customHeight="1">
      <x:c r="A36" s="3" t="s">
        <x:v>149</x:v>
      </x:c>
      <x:c r="B36" s="2" t="s">
        <x:v>127</x:v>
      </x:c>
      <x:c r="C36" s="2" t="s">
        <x:v>128</x:v>
      </x:c>
      <x:c r="D36" s="2" t="s">
        <x:v>91</x:v>
      </x:c>
      <x:c r="E36" s="2" t="s">
        <x:v>147</x:v>
      </x:c>
      <x:c r="F36" s="2" t="s">
        <x:v>130</x:v>
      </x:c>
      <x:c r="G36" s="2" t="s">
        <x:v>78</x:v>
      </x:c>
      <x:c r="H36" s="2" t="s">
        <x:v>79</x:v>
      </x:c>
      <x:c r="I36" s="2" t="s">
        <x:v>94</x:v>
      </x:c>
      <x:c r="J36" s="2" t="s">
        <x:v>68</x:v>
      </x:c>
      <x:c r="K36" s="2" t="s">
        <x:v>150</x:v>
      </x:c>
      <x:c r="L36" s="2" t="s">
        <x:v>148</x:v>
      </x:c>
      <x:c r="M36" s="2" t="s">
        <x:v>151</x:v>
      </x:c>
      <x:c r="N36" s="2" t="s">
        <x:v>14</x:v>
      </x:c>
      <x:c r="O36" s="2">
        <x:v>155</x:v>
      </x:c>
      <x:c r="P36" s="2" t="s">
        <x:v>13</x:v>
      </x:c>
    </x:row>
    <x:row r="37" ht="15" customHeight="1">
      <x:c r="A37" s="3" t="s">
        <x:v>152</x:v>
      </x:c>
      <x:c r="B37" s="2" t="s">
        <x:v>127</x:v>
      </x:c>
      <x:c r="C37" s="2" t="s">
        <x:v>128</x:v>
      </x:c>
      <x:c r="D37" s="2" t="s">
        <x:v>153</x:v>
      </x:c>
      <x:c r="E37" s="2" t="s">
        <x:v>154</x:v>
      </x:c>
      <x:c r="F37" s="2" t="s">
        <x:v>155</x:v>
      </x:c>
      <x:c r="G37" s="2" t="s">
        <x:v>66</x:v>
      </x:c>
      <x:c r="H37" s="2" t="s">
        <x:v>67</x:v>
      </x:c>
      <x:c r="I37" s="2" t="s">
        <x:v>68</x:v>
      </x:c>
      <x:c r="J37" s="2" t="s">
        <x:v>94</x:v>
      </x:c>
      <x:c r="K37" s="2" t="s">
        <x:v>69</x:v>
      </x:c>
      <x:c r="L37" s="2" t="s">
        <x:v>156</x:v>
      </x:c>
      <x:c r="M37" s="2" t="s">
        <x:v>157</x:v>
      </x:c>
      <x:c r="N37" s="2" t="s">
        <x:v>14</x:v>
      </x:c>
      <x:c r="O37" s="2">
        <x:v>157</x:v>
      </x:c>
      <x:c r="P37" s="2" t="s">
        <x:v>13</x:v>
      </x:c>
    </x:row>
    <x:row r="38" ht="15" customHeight="1">
      <x:c r="A38" s="3" t="s">
        <x:v>158</x:v>
      </x:c>
      <x:c r="B38" s="2" t="s">
        <x:v>127</x:v>
      </x:c>
      <x:c r="C38" s="2" t="s">
        <x:v>128</x:v>
      </x:c>
      <x:c r="D38" s="2" t="s">
        <x:v>153</x:v>
      </x:c>
      <x:c r="E38" s="2" t="s">
        <x:v>154</x:v>
      </x:c>
      <x:c r="F38" s="2" t="s">
        <x:v>155</x:v>
      </x:c>
      <x:c r="G38" s="2" t="s">
        <x:v>66</x:v>
      </x:c>
      <x:c r="H38" s="2" t="s">
        <x:v>67</x:v>
      </x:c>
      <x:c r="I38" s="2" t="s">
        <x:v>68</x:v>
      </x:c>
      <x:c r="J38" s="2" t="s">
        <x:v>122</x:v>
      </x:c>
      <x:c r="K38" s="2" t="s">
        <x:v>69</x:v>
      </x:c>
      <x:c r="L38" s="2" t="s">
        <x:v>156</x:v>
      </x:c>
      <x:c r="M38" s="2" t="s">
        <x:v>71</x:v>
      </x:c>
      <x:c r="N38" s="2" t="s">
        <x:v>14</x:v>
      </x:c>
      <x:c r="O38" s="2">
        <x:v>165</x:v>
      </x:c>
      <x:c r="P38" s="2" t="s">
        <x:v>13</x:v>
      </x:c>
    </x:row>
    <x:row r="39" ht="15" customHeight="1">
      <x:c r="A39" s="3" t="s">
        <x:v>159</x:v>
      </x:c>
      <x:c r="B39" s="2" t="s">
        <x:v>127</x:v>
      </x:c>
      <x:c r="C39" s="2" t="s">
        <x:v>128</x:v>
      </x:c>
      <x:c r="D39" s="2" t="s">
        <x:v>153</x:v>
      </x:c>
      <x:c r="E39" s="2" t="s">
        <x:v>154</x:v>
      </x:c>
      <x:c r="F39" s="2" t="s">
        <x:v>155</x:v>
      </x:c>
      <x:c r="G39" s="2" t="s">
        <x:v>66</x:v>
      </x:c>
      <x:c r="H39" s="2" t="s">
        <x:v>67</x:v>
      </x:c>
      <x:c r="I39" s="2" t="s">
        <x:v>76</x:v>
      </x:c>
      <x:c r="J39" s="2" t="s">
        <x:v>160</x:v>
      </x:c>
      <x:c r="K39" s="2" t="s">
        <x:v>69</x:v>
      </x:c>
      <x:c r="L39" s="2" t="s">
        <x:v>156</x:v>
      </x:c>
      <x:c r="M39" s="2" t="s">
        <x:v>161</x:v>
      </x:c>
      <x:c r="N39" s="2" t="s">
        <x:v>14</x:v>
      </x:c>
      <x:c r="O39" s="2">
        <x:v>169</x:v>
      </x:c>
      <x:c r="P39" s="2" t="s">
        <x:v>13</x:v>
      </x:c>
    </x:row>
    <x:row r="40" ht="15" customHeight="1">
      <x:c r="A40" s="3" t="s">
        <x:v>162</x:v>
      </x:c>
      <x:c r="B40" s="2" t="s">
        <x:v>127</x:v>
      </x:c>
      <x:c r="C40" s="2" t="s">
        <x:v>128</x:v>
      </x:c>
      <x:c r="D40" s="2" t="s">
        <x:v>153</x:v>
      </x:c>
      <x:c r="E40" s="2" t="s">
        <x:v>154</x:v>
      </x:c>
      <x:c r="F40" s="2" t="s">
        <x:v>155</x:v>
      </x:c>
      <x:c r="G40" s="2" t="s">
        <x:v>66</x:v>
      </x:c>
      <x:c r="H40" s="2" t="s">
        <x:v>67</x:v>
      </x:c>
      <x:c r="I40" s="2" t="s">
        <x:v>68</x:v>
      </x:c>
      <x:c r="J40" s="2" t="s">
        <x:v>122</x:v>
      </x:c>
      <x:c r="K40" s="2" t="s">
        <x:v>69</x:v>
      </x:c>
      <x:c r="L40" s="2" t="s">
        <x:v>156</x:v>
      </x:c>
      <x:c r="M40" s="2" t="s">
        <x:v>71</x:v>
      </x:c>
      <x:c r="N40" s="2" t="s">
        <x:v>14</x:v>
      </x:c>
      <x:c r="O40" s="2">
        <x:v>175</x:v>
      </x:c>
      <x:c r="P40" s="2" t="s">
        <x:v>13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b220c460f0c747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8671875" defaultRowHeight="14.399999618530273"/>
  <x:cols>
    <x:col min="1" max="1" width="10" hidden="0" customWidth="1"/>
    <x:col min="2" max="2" width="12" hidden="0" customWidth="1"/>
    <x:col min="3" max="3" width="12" hidden="0" customWidth="1"/>
    <x:col min="4" max="4" width="18" hidden="0" customWidth="1"/>
    <x:col min="5" max="5" width="12" hidden="0" customWidth="1"/>
    <x:col min="6" max="6" width="12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8" hidden="0" customWidth="1"/>
    <x:col min="17" max="17" width="12" hidden="0" customWidth="1"/>
    <x:col min="18" max="18" width="12" hidden="0" customWidth="1"/>
    <x:col min="19" max="19" width="18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</x:cols>
  <x:sheetData>
    <x:row r="1" ht="28.799999237060547" hidden="0" customHeight="1">
      <x:c r="A1" s="366" t="str"/>
      <x:c r="B1" s="366" t="str"/>
      <x:c r="C1" s="366" t="str"/>
      <x:c r="D1" s="366" t="str"/>
      <x:c r="E1" s="366" t="str">
        <x:v>Intégration Continue</x:v>
      </x:c>
      <x:c r="F1" s="366" t="str"/>
      <x:c r="G1" s="366" t="str"/>
      <x:c r="H1" s="366" t="str"/>
      <x:c r="I1" s="366" t="str"/>
      <x:c r="J1" s="366" t="str"/>
      <x:c r="K1" s="366" t="str"/>
      <x:c r="L1" s="366" t="str"/>
      <x:c r="M1" s="366" t="str"/>
      <x:c r="N1" s="366" t="str"/>
      <x:c r="O1" s="366" t="str"/>
      <x:c r="P1" s="366" t="str"/>
      <x:c r="Q1" s="366" t="str"/>
      <x:c r="R1" s="366" t="str"/>
      <x:c r="S1" s="366" t="str"/>
      <x:c r="T1" s="366" t="str"/>
      <x:c r="U1" s="366" t="str"/>
      <x:c r="V1" s="366" t="str"/>
      <x:c r="W1" s="366" t="str"/>
      <x:c r="X1" s="366" t="str"/>
      <x:c r="Y1" s="366" t="str"/>
      <x:c r="Z1" s="366" t="str"/>
      <x:c r="AA1" s="366" t="str"/>
      <x:c r="AB1" s="366" t="str"/>
      <x:c r="AC1"/>
      <x:c r="AD1"/>
      <x:c r="AE1"/>
      <x:c r="AF1"/>
      <x:c r="AG1"/>
    </x:row>
    <x:row r="2" ht="28.799999237060547" hidden="0" customHeight="1">
      <x:c r="A2" s="366" t="str"/>
      <x:c r="B2" s="366" t="str"/>
      <x:c r="C2" s="366" t="str"/>
      <x:c r="D2" s="366" t="str"/>
      <x:c r="E2" s="366" t="str">
        <x:v>Reporting hebdo GIL</x:v>
      </x:c>
      <x:c r="F2" s="366" t="str"/>
      <x:c r="G2" s="366" t="str"/>
      <x:c r="H2" s="366" t="str"/>
      <x:c r="I2" s="366" t="str"/>
      <x:c r="J2" s="366" t="str"/>
      <x:c r="K2" s="366" t="str"/>
      <x:c r="L2" s="366" t="str"/>
      <x:c r="M2" s="366" t="str"/>
      <x:c r="N2" s="366" t="str"/>
      <x:c r="O2" s="366" t="str"/>
      <x:c r="P2" s="366" t="str"/>
      <x:c r="Q2" s="366" t="str"/>
      <x:c r="R2" s="366" t="str"/>
      <x:c r="S2" s="366" t="str"/>
      <x:c r="T2" s="366" t="str"/>
      <x:c r="U2" s="366" t="str"/>
      <x:c r="V2" s="366" t="str"/>
      <x:c r="W2" s="366" t="str"/>
      <x:c r="X2" s="366" t="str"/>
      <x:c r="Y2" s="366" t="str"/>
      <x:c r="Z2" s="366" t="str"/>
      <x:c r="AA2" s="366" t="str"/>
      <x:c r="AB2" s="366" t="str"/>
      <x:c r="AC2"/>
      <x:c r="AD2"/>
      <x:c r="AE2"/>
      <x:c r="AF2"/>
      <x:c r="AG2"/>
    </x:row>
    <x:row r="3" ht="14.399999618530273" hidden="0" customHeight="1">
      <x:c r="A3" s="363" t="str"/>
      <x:c r="B3" s="363" t="str"/>
      <x:c r="C3" s="363" t="str"/>
      <x:c r="D3" s="363" t="str"/>
      <x:c r="E3" s="363" t="str">
        <x:v>10-août-26</x:v>
      </x:c>
      <x:c r="F3" s="363" t="str"/>
      <x:c r="G3" s="363" t="str"/>
      <x:c r="H3" s="363" t="str"/>
      <x:c r="I3" s="363" t="str"/>
      <x:c r="J3" s="363" t="str"/>
      <x:c r="K3" s="363" t="str"/>
      <x:c r="L3" s="363" t="str"/>
      <x:c r="M3" s="363" t="str"/>
      <x:c r="N3" s="363" t="str"/>
      <x:c r="O3" s="363" t="str"/>
      <x:c r="P3" s="363" t="str"/>
      <x:c r="Q3" s="363" t="str"/>
      <x:c r="R3" s="363" t="str"/>
      <x:c r="S3" s="363" t="str"/>
      <x:c r="T3" s="363" t="str"/>
      <x:c r="U3" s="363" t="str"/>
      <x:c r="V3" s="363" t="str"/>
      <x:c r="W3" s="363" t="str"/>
      <x:c r="X3" s="363" t="str"/>
      <x:c r="Y3" s="363" t="str"/>
      <x:c r="Z3" s="363" t="str"/>
      <x:c r="AA3" s="363" t="str"/>
      <x:c r="AB3" s="363" t="str"/>
      <x:c r="AC3"/>
      <x:c r="AD3"/>
      <x:c r="AE3"/>
      <x:c r="AF3"/>
      <x:c r="AG3"/>
    </x:row>
    <x:row r="4" ht="39.599998474121094" hidden="0" customHeight="1">
      <x:c r="A4" s="368" t="str"/>
      <x:c r="B4" s="368" t="str"/>
      <x:c r="C4" s="368" t="str"/>
      <x:c r="D4" s="368" t="str">
        <x:v>Phase 1 : Mise à disposition des services et des flux GIL</x:v>
      </x:c>
      <x:c r="E4" s="368" t="str"/>
      <x:c r="F4" s="368" t="str"/>
      <x:c r="G4" s="368" t="str"/>
      <x:c r="H4" s="368" t="str"/>
      <x:c r="I4" s="368" t="str"/>
      <x:c r="J4" s="368" t="str"/>
      <x:c r="K4" s="368" t="str"/>
      <x:c r="L4" s="368" t="str"/>
      <x:c r="M4" s="368" t="str"/>
      <x:c r="N4" s="368" t="str"/>
      <x:c r="O4" s="368" t="str"/>
      <x:c r="P4" s="368" t="str"/>
      <x:c r="Q4" s="368" t="str"/>
      <x:c r="R4" s="368" t="str"/>
      <x:c r="S4" s="368" t="str"/>
      <x:c r="T4" s="368" t="str"/>
      <x:c r="U4" s="368" t="str"/>
      <x:c r="V4" s="368" t="str"/>
      <x:c r="W4" s="368" t="str"/>
      <x:c r="X4" s="368" t="str"/>
      <x:c r="Y4" s="368" t="str"/>
      <x:c r="Z4" s="368" t="str"/>
      <x:c r="AA4" s="368" t="str"/>
      <x:c r="AB4" s="368" t="str"/>
      <x:c r="AC4"/>
      <x:c r="AD4"/>
      <x:c r="AE4"/>
      <x:c r="AF4"/>
      <x:c r="AG4"/>
    </x:row>
    <x:row r="5" ht="26.399999618530273" hidden="0" customHeight="1">
      <x:c r="A5" s="368" t="str"/>
      <x:c r="B5" s="368" t="str"/>
      <x:c r="C5" s="368" t="str"/>
      <x:c r="D5" s="368" t="str"/>
      <x:c r="E5" s="368" t="str">
        <x:v>Chaine de valeur flux</x:v>
      </x:c>
      <x:c r="F5" s="368" t="str"/>
      <x:c r="G5" s="368" t="str"/>
      <x:c r="H5" s="368" t="str"/>
      <x:c r="I5" s="368" t="str"/>
      <x:c r="J5" s="368" t="str"/>
      <x:c r="K5" s="368" t="str"/>
      <x:c r="L5" s="368" t="str"/>
      <x:c r="M5" s="368" t="str"/>
      <x:c r="N5" s="368" t="str"/>
      <x:c r="O5" s="368" t="str"/>
      <x:c r="P5" s="368" t="str"/>
      <x:c r="Q5" s="368" t="str"/>
      <x:c r="R5" s="368" t="str"/>
      <x:c r="S5" s="368" t="str"/>
      <x:c r="T5" s="368" t="str"/>
      <x:c r="U5" s="368" t="str"/>
      <x:c r="V5" s="368" t="str"/>
      <x:c r="W5" s="368" t="str"/>
      <x:c r="X5" s="368" t="str"/>
      <x:c r="Y5" s="368" t="str"/>
      <x:c r="Z5" s="368" t="str"/>
      <x:c r="AA5" s="368" t="str"/>
      <x:c r="AB5" s="368" t="str"/>
      <x:c r="AC5"/>
      <x:c r="AD5"/>
      <x:c r="AE5"/>
      <x:c r="AF5"/>
      <x:c r="AG5"/>
    </x:row>
    <x:row r="6" ht="24" hidden="0" customHeight="1">
      <x:c r="A6" s="371" t="str"/>
      <x:c r="B6" s="371" t="str"/>
      <x:c r="C6" s="371" t="str"/>
      <x:c r="D6" s="371" t="str"/>
      <x:c r="E6" s="371" t="str"/>
      <x:c r="F6" s="371" t="str"/>
      <x:c r="G6" s="371" t="str"/>
      <x:c r="H6" s="371" t="str"/>
      <x:c r="I6" s="371" t="str">
        <x:v>Génération du CI AVRO</x:v>
      </x:c>
      <x:c r="J6" s="371" t="str"/>
      <x:c r="K6" s="371" t="str"/>
      <x:c r="L6" s="371" t="str"/>
      <x:c r="M6" s="371" t="str"/>
      <x:c r="N6" s="371" t="str"/>
      <x:c r="O6" s="371" t="str"/>
      <x:c r="P6" s="371" t="str"/>
      <x:c r="Q6" s="371" t="str"/>
      <x:c r="R6" s="371" t="str"/>
      <x:c r="S6" s="371" t="str"/>
      <x:c r="T6" s="371" t="str"/>
      <x:c r="U6" s="371" t="str"/>
      <x:c r="V6" s="371" t="str"/>
      <x:c r="W6" s="371" t="str"/>
      <x:c r="X6" s="371" t="str"/>
      <x:c r="Y6" s="371" t="str"/>
      <x:c r="Z6" s="371" t="str"/>
      <x:c r="AA6" s="371" t="str"/>
      <x:c r="AB6" s="371" t="str"/>
      <x:c r="AC6"/>
      <x:c r="AD6"/>
      <x:c r="AE6"/>
      <x:c r="AF6"/>
      <x:c r="AG6"/>
    </x:row>
    <x:row r="7" ht="14.399999618530273" hidden="0" customHeight="1">
      <x:c r="A7" s="371" t="str"/>
      <x:c r="B7" s="371" t="str"/>
      <x:c r="C7" s="371" t="str"/>
      <x:c r="D7" s="371" t="str"/>
      <x:c r="E7" s="371" t="str">
        <x:v>ACQUISITION</x:v>
      </x:c>
      <x:c r="F7" s="371" t="str"/>
      <x:c r="G7" s="371" t="str"/>
      <x:c r="H7" s="371" t="str"/>
      <x:c r="I7" s="371" t="str"/>
      <x:c r="J7" s="371" t="str"/>
      <x:c r="K7" s="371" t="str"/>
      <x:c r="L7" s="371" t="str"/>
      <x:c r="M7" s="371" t="str"/>
      <x:c r="N7" s="371" t="str">
        <x:v>EMISSION</x:v>
      </x:c>
      <x:c r="O7" s="371" t="str"/>
      <x:c r="P7" s="371" t="str"/>
      <x:c r="Q7" s="371" t="str"/>
      <x:c r="R7" s="371" t="str"/>
      <x:c r="S7" s="371" t="str"/>
      <x:c r="T7" s="371" t="str"/>
      <x:c r="U7" s="371" t="str"/>
      <x:c r="V7" s="371" t="str"/>
      <x:c r="W7" s="371" t="str"/>
      <x:c r="X7" s="371" t="str"/>
      <x:c r="Y7" s="371" t="str"/>
      <x:c r="Z7" s="371" t="str"/>
      <x:c r="AA7" s="371" t="str"/>
      <x:c r="AB7" s="371" t="str"/>
      <x:c r="AC7"/>
      <x:c r="AD7"/>
      <x:c r="AE7"/>
      <x:c r="AF7"/>
      <x:c r="AG7"/>
    </x:row>
    <x:row r="8" ht="14.399999618530273" hidden="0" customHeight="1">
      <x:c r="A8" s="373" t="str"/>
      <x:c r="B8" s="373" t="str"/>
      <x:c r="C8" s="373" t="str"/>
      <x:c r="D8" s="373" t="str"/>
      <x:c r="E8" s="373" t="str">
        <x:v>TOTAUX</x:v>
      </x:c>
      <x:c r="F8" s="373" t="str">
        <x:v>Total</x:v>
      </x:c>
      <x:c r="G8" s="373" t="str">
        <x:v>Livré</x:v>
      </x:c>
      <x:c r="H8" s="373" t="str"/>
      <x:c r="I8" s="373" t="str">
        <x:v>En cours</x:v>
      </x:c>
      <x:c r="J8" s="373" t="str"/>
      <x:c r="K8" s="373" t="str">
        <x:v>A traiter</x:v>
      </x:c>
      <x:c r="L8" s="373" t="str"/>
      <x:c r="M8" s="373" t="str"/>
      <x:c r="N8" s="373" t="str">
        <x:v>TOTAUX</x:v>
      </x:c>
      <x:c r="O8" s="373" t="str">
        <x:v>Total</x:v>
      </x:c>
      <x:c r="P8" s="373" t="str">
        <x:v>Livré</x:v>
      </x:c>
      <x:c r="Q8" s="373" t="str"/>
      <x:c r="R8" s="373" t="str">
        <x:v>En cours</x:v>
      </x:c>
      <x:c r="S8" s="373" t="str"/>
      <x:c r="T8" s="373" t="str">
        <x:v>A traiter</x:v>
      </x:c>
      <x:c r="U8" s="373" t="str"/>
      <x:c r="V8" s="373" t="str"/>
      <x:c r="W8" s="373" t="str"/>
      <x:c r="X8" s="373" t="str"/>
      <x:c r="Y8" s="373" t="str"/>
      <x:c r="Z8" s="373" t="str"/>
      <x:c r="AA8" s="373" t="str"/>
      <x:c r="AB8" s="373" t="str"/>
      <x:c r="AC8"/>
      <x:c r="AD8"/>
      <x:c r="AE8"/>
      <x:c r="AF8"/>
      <x:c r="AG8"/>
    </x:row>
    <x:row r="9" ht="14.399999618530273" hidden="0" customHeight="1">
      <x:c r="A9" s="363" t="str"/>
      <x:c r="B9" s="363" t="str"/>
      <x:c r="C9" s="363" t="str"/>
      <x:c r="D9" s="363" t="str"/>
      <x:c r="E9" s="363" t="str"/>
      <x:c r="F9" s="363" t="str">
        <x:v>Nbr flux</x:v>
      </x:c>
      <x:c r="G9" s="363" t="str">
        <x:v>Nbr flux</x:v>
      </x:c>
      <x:c r="H9" s="363" t="str">
        <x:v>id de flux</x:v>
      </x:c>
      <x:c r="I9" s="363" t="str">
        <x:v>Nbr flux</x:v>
      </x:c>
      <x:c r="J9" s="363" t="str">
        <x:v>id de flux</x:v>
      </x:c>
      <x:c r="K9" s="363" t="str">
        <x:v>Nbr flux</x:v>
      </x:c>
      <x:c r="L9" s="363" t="str">
        <x:v>id de flux</x:v>
      </x:c>
      <x:c r="M9" s="363" t="str"/>
      <x:c r="N9" s="363" t="str"/>
      <x:c r="O9" s="363" t="str">
        <x:v>Nbr flux</x:v>
      </x:c>
      <x:c r="P9" s="363" t="str">
        <x:v>Nbr flux</x:v>
      </x:c>
      <x:c r="Q9" s="363" t="str">
        <x:v>id de flux</x:v>
      </x:c>
      <x:c r="R9" s="363" t="str">
        <x:v>Nbr flux</x:v>
      </x:c>
      <x:c r="S9" s="363" t="str">
        <x:v>id de flux</x:v>
      </x:c>
      <x:c r="T9" s="363" t="str">
        <x:v>Nbr flux</x:v>
      </x:c>
      <x:c r="U9" s="363" t="str">
        <x:v>id de flux</x:v>
      </x:c>
      <x:c r="V9" s="363" t="str"/>
      <x:c r="W9" s="363" t="str"/>
      <x:c r="X9" s="363" t="str"/>
      <x:c r="Y9" s="363" t="str"/>
      <x:c r="Z9" s="363" t="str"/>
      <x:c r="AA9" s="363" t="str"/>
      <x:c r="AB9" s="363" t="str"/>
      <x:c r="AC9"/>
      <x:c r="AD9"/>
      <x:c r="AE9"/>
      <x:c r="AF9"/>
      <x:c r="AG9"/>
    </x:row>
    <x:row r="10" ht="90" hidden="0" customHeight="1">
      <x:c r="A10" s="363" t="str"/>
      <x:c r="B10" s="363" t="str"/>
      <x:c r="C10" s="363" t="str"/>
      <x:c r="D10" s="363" t="str"/>
      <x:c r="E10" s="363" t="str"/>
      <x:c r="F10" s="363" t="str">
        <x:v>20</x:v>
      </x:c>
      <x:c r="G10" s="363" t="str">
        <x:v>19</x:v>
      </x:c>
      <x:c r="H10" s="363" t="str">
        <x:v>MM4-1 � 5  v1.5.0
MM5-1 � 5  v0.1.1/V1.5.1
MM7 v0.1.1/V1.5.1
MM5-1 � 5 v1.5.0 OA5-2 v1.14
PC06-2 v1.10.0
PC07 v1.10.0</x:v>
      </x:c>
      <x:c r="I10" s="363" t="str">
        <x:v>1</x:v>
      </x:c>
      <x:c r="J10" s="363" t="str">
        <x:v>MM7 v1.5</x:v>
      </x:c>
      <x:c r="K10" s="363" t="str">
        <x:v>0</x:v>
      </x:c>
      <x:c r="L10" s="363" t="str"/>
      <x:c r="M10" s="363" t="str"/>
      <x:c r="N10" s="363" t="str"/>
      <x:c r="O10" s="363" t="str">
        <x:v>14</x:v>
      </x:c>
      <x:c r="P10" s="363" t="str">
        <x:v>13</x:v>
      </x:c>
      <x:c r="Q10" s="363" t="str">
        <x:v>CMS4-001 v2.9
CMS-14_001 v1.5
CMS-14_002 v1.5
CMS20_001 v1.3.0
CMS37_001 v1.3.0 CMS-22 v1.2OA3-002 V1.3.0
CNT-EM6 V1.7 CNT-EM9 V1.7 CNT-EM15 V1.7 CNT-EM18 V1.7
DMS12-1 DMS12-2</x:v>
      </x:c>
      <x:c r="R10" s="363" t="str">
        <x:v>0</x:v>
      </x:c>
      <x:c r="S10" s="363" t="str"/>
      <x:c r="T10" s="363" t="str">
        <x:v>1</x:v>
      </x:c>
      <x:c r="U10" s="363" t="str">
        <x:v>CMS14_003 v1.5</x:v>
      </x:c>
      <x:c r="V10" s="363" t="str"/>
      <x:c r="W10" s="363" t="str"/>
      <x:c r="X10" s="363" t="str"/>
      <x:c r="Y10" s="363" t="str"/>
      <x:c r="Z10" s="363" t="str"/>
      <x:c r="AA10" s="363" t="str"/>
      <x:c r="AB10" s="363" t="str"/>
      <x:c r="AC10"/>
      <x:c r="AD10"/>
      <x:c r="AE10"/>
      <x:c r="AF10"/>
      <x:c r="AG10"/>
    </x:row>
    <x:row r="11" ht="14.399999618530273" hidden="0" customHeight="1">
      <x:c r="A11" s="373" t="str"/>
      <x:c r="B11" s="373" t="str"/>
      <x:c r="C11" s="373" t="str"/>
      <x:c r="D11" s="373" t="str"/>
      <x:c r="E11" s="373" t="str">
        <x:v>Arbitrage</x:v>
      </x:c>
      <x:c r="F11" s="373" t="str"/>
      <x:c r="G11" s="373" t="str"/>
      <x:c r="H11" s="373" t="str"/>
      <x:c r="I11" s="373" t="str"/>
      <x:c r="J11" s="373" t="str"/>
      <x:c r="K11" s="373" t="str"/>
      <x:c r="L11" s="373" t="str">
        <x:v>NON</x:v>
      </x:c>
      <x:c r="M11" s="373" t="str"/>
      <x:c r="N11" s="373" t="str">
        <x:v>Arbitrage</x:v>
      </x:c>
      <x:c r="O11" s="373" t="str"/>
      <x:c r="P11" s="373" t="str"/>
      <x:c r="Q11" s="373" t="str"/>
      <x:c r="R11" s="373" t="str"/>
      <x:c r="S11" s="373" t="str"/>
      <x:c r="T11" s="373" t="str"/>
      <x:c r="U11" s="373" t="str">
        <x:v>NON</x:v>
      </x:c>
      <x:c r="V11" s="373" t="str"/>
      <x:c r="W11" s="373" t="str"/>
      <x:c r="X11" s="373" t="str"/>
      <x:c r="Y11" s="373" t="str"/>
      <x:c r="Z11" s="373" t="str"/>
      <x:c r="AA11" s="373" t="str"/>
      <x:c r="AB11" s="373" t="str"/>
      <x:c r="AC11"/>
      <x:c r="AD11"/>
      <x:c r="AE11"/>
      <x:c r="AF11"/>
      <x:c r="AG11"/>
    </x:row>
    <x:row r="12" ht="14.399999618530273" hidden="0" customHeight="1">
      <x:c r="A12" s="363" t="str"/>
      <x:c r="B12" s="363" t="str"/>
      <x:c r="C12" s="363" t="str"/>
      <x:c r="D12" s="363" t="str"/>
      <x:c r="E12" s="363" t="str">
        <x:v>Id flux</x:v>
      </x:c>
      <x:c r="F12" s="363" t="str">
        <x:v>Version</x:v>
      </x:c>
      <x:c r="G12" s="363" t="str">
        <x:v>Descritpion</x:v>
      </x:c>
      <x:c r="H12" s="363" t="str"/>
      <x:c r="I12" s="363" t="str"/>
      <x:c r="J12" s="363" t="str"/>
      <x:c r="K12" s="363" t="str"/>
      <x:c r="L12" s="363" t="str"/>
      <x:c r="M12" s="363" t="str"/>
      <x:c r="N12" s="363" t="str">
        <x:v>Id flux</x:v>
      </x:c>
      <x:c r="O12" s="363" t="str">
        <x:v>Version</x:v>
      </x:c>
      <x:c r="P12" s="363" t="str">
        <x:v>Descritpion</x:v>
      </x:c>
      <x:c r="Q12" s="363" t="str"/>
      <x:c r="R12" s="363" t="str"/>
      <x:c r="S12" s="363" t="str"/>
      <x:c r="T12" s="363" t="str"/>
      <x:c r="U12" s="363" t="str"/>
      <x:c r="V12" s="363" t="str"/>
      <x:c r="W12" s="363" t="str"/>
      <x:c r="X12" s="363" t="str"/>
      <x:c r="Y12" s="363" t="str"/>
      <x:c r="Z12" s="363" t="str"/>
      <x:c r="AA12" s="363" t="str"/>
      <x:c r="AB12" s="363" t="str"/>
      <x:c r="AC12"/>
      <x:c r="AD12"/>
      <x:c r="AE12"/>
      <x:c r="AF12"/>
      <x:c r="AG12"/>
    </x:row>
    <x:row r="13" ht="36" hidden="0" customHeight="1">
      <x:c r="A13" s="371" t="str"/>
      <x:c r="B13" s="371" t="str"/>
      <x:c r="C13" s="371" t="str"/>
      <x:c r="D13" s="371" t="str"/>
      <x:c r="E13" s="371" t="str"/>
      <x:c r="F13" s="371" t="str"/>
      <x:c r="G13" s="371" t="str"/>
      <x:c r="H13" s="371" t="str"/>
      <x:c r="I13" s="371" t="str">
        <x:v>Configuration des flux &amp; Déploiement</x:v>
      </x:c>
      <x:c r="J13" s="371" t="str"/>
      <x:c r="K13" s="371" t="str"/>
      <x:c r="L13" s="371" t="str"/>
      <x:c r="M13" s="371" t="str"/>
      <x:c r="N13" s="371" t="str"/>
      <x:c r="O13" s="371" t="str"/>
      <x:c r="P13" s="371" t="str"/>
      <x:c r="Q13" s="371" t="str"/>
      <x:c r="R13" s="371" t="str"/>
      <x:c r="S13" s="371" t="str"/>
      <x:c r="T13" s="371" t="str"/>
      <x:c r="U13" s="371" t="str"/>
      <x:c r="V13" s="371" t="str"/>
      <x:c r="W13" s="371" t="str"/>
      <x:c r="X13" s="371" t="str"/>
      <x:c r="Y13" s="371" t="str"/>
      <x:c r="Z13" s="371" t="str"/>
      <x:c r="AA13" s="371" t="str"/>
      <x:c r="AB13" s="371" t="str"/>
      <x:c r="AC13"/>
      <x:c r="AD13"/>
      <x:c r="AE13"/>
      <x:c r="AF13"/>
      <x:c r="AG13"/>
    </x:row>
    <x:row r="14" ht="14.399999618530273" hidden="0" customHeight="1">
      <x:c r="A14" s="371" t="str"/>
      <x:c r="B14" s="371" t="str"/>
      <x:c r="C14" s="371" t="str"/>
      <x:c r="D14" s="371" t="str"/>
      <x:c r="E14" s="371" t="str">
        <x:v>ACQUISITION</x:v>
      </x:c>
      <x:c r="F14" s="371" t="str"/>
      <x:c r="G14" s="371" t="str"/>
      <x:c r="H14" s="371" t="str"/>
      <x:c r="I14" s="371" t="str"/>
      <x:c r="J14" s="371" t="str"/>
      <x:c r="K14" s="371" t="str"/>
      <x:c r="L14" s="371" t="str"/>
      <x:c r="M14" s="371" t="str"/>
      <x:c r="N14" s="371" t="str">
        <x:v>EMISSION</x:v>
      </x:c>
      <x:c r="O14" s="371" t="str"/>
      <x:c r="P14" s="371" t="str"/>
      <x:c r="Q14" s="371" t="str"/>
      <x:c r="R14" s="371" t="str"/>
      <x:c r="S14" s="371" t="str"/>
      <x:c r="T14" s="371" t="str"/>
      <x:c r="U14" s="371" t="str"/>
      <x:c r="V14" s="371" t="str"/>
      <x:c r="W14" s="371" t="str"/>
      <x:c r="X14" s="371" t="str"/>
      <x:c r="Y14" s="371" t="str"/>
      <x:c r="Z14" s="371" t="str"/>
      <x:c r="AA14" s="371" t="str"/>
      <x:c r="AB14" s="371" t="str"/>
      <x:c r="AC14"/>
      <x:c r="AD14"/>
      <x:c r="AE14"/>
      <x:c r="AF14"/>
      <x:c r="AG14"/>
    </x:row>
    <x:row r="15" ht="14.399999618530273" hidden="0" customHeight="1">
      <x:c r="A15" s="373" t="str"/>
      <x:c r="B15" s="373" t="str"/>
      <x:c r="C15" s="373" t="str"/>
      <x:c r="D15" s="373" t="str"/>
      <x:c r="E15" s="373" t="str">
        <x:v>TOTAUX</x:v>
      </x:c>
      <x:c r="F15" s="373" t="str">
        <x:v>Total</x:v>
      </x:c>
      <x:c r="G15" s="373" t="str">
        <x:v>Livré</x:v>
      </x:c>
      <x:c r="H15" s="373" t="str"/>
      <x:c r="I15" s="373" t="str">
        <x:v>En cours</x:v>
      </x:c>
      <x:c r="J15" s="373" t="str"/>
      <x:c r="K15" s="373" t="str">
        <x:v>A traiter</x:v>
      </x:c>
      <x:c r="L15" s="373" t="str"/>
      <x:c r="M15" s="373" t="str"/>
      <x:c r="N15" s="373" t="str">
        <x:v>TOTAUX</x:v>
      </x:c>
      <x:c r="O15" s="373" t="str">
        <x:v>Total</x:v>
      </x:c>
      <x:c r="P15" s="373" t="str">
        <x:v>Livré</x:v>
      </x:c>
      <x:c r="Q15" s="373" t="str"/>
      <x:c r="R15" s="373" t="str">
        <x:v>En cours</x:v>
      </x:c>
      <x:c r="S15" s="373" t="str"/>
      <x:c r="T15" s="373" t="str">
        <x:v>A traiter</x:v>
      </x:c>
      <x:c r="U15" s="373" t="str"/>
      <x:c r="V15" s="373" t="str"/>
      <x:c r="W15" s="373" t="str"/>
      <x:c r="X15" s="373" t="str"/>
      <x:c r="Y15" s="373" t="str"/>
      <x:c r="Z15" s="373" t="str"/>
      <x:c r="AA15" s="373" t="str"/>
      <x:c r="AB15" s="373" t="str"/>
      <x:c r="AC15"/>
      <x:c r="AD15"/>
      <x:c r="AE15"/>
      <x:c r="AF15"/>
      <x:c r="AG15"/>
    </x:row>
    <x:row r="16" ht="14.399999618530273" hidden="0" customHeight="1">
      <x:c r="A16" s="363" t="str"/>
      <x:c r="B16" s="363" t="str"/>
      <x:c r="C16" s="363" t="str"/>
      <x:c r="D16" s="363" t="str"/>
      <x:c r="E16" s="363" t="str">
        <x:v>Env</x:v>
      </x:c>
      <x:c r="F16" s="363" t="str">
        <x:v>Nbr flux</x:v>
      </x:c>
      <x:c r="G16" s="363" t="str">
        <x:v>Nbr flux</x:v>
      </x:c>
      <x:c r="H16" s="363" t="str">
        <x:v>id de flux</x:v>
      </x:c>
      <x:c r="I16" s="363" t="str">
        <x:v>Nbr flux</x:v>
      </x:c>
      <x:c r="J16" s="363" t="str">
        <x:v>id de flux</x:v>
      </x:c>
      <x:c r="K16" s="363" t="str">
        <x:v>Nbr flux</x:v>
      </x:c>
      <x:c r="L16" s="363" t="str">
        <x:v>id de flux</x:v>
      </x:c>
      <x:c r="M16" s="363" t="str"/>
      <x:c r="N16" s="363" t="str">
        <x:v>Env</x:v>
      </x:c>
      <x:c r="O16" s="363" t="str">
        <x:v>Nbr flux</x:v>
      </x:c>
      <x:c r="P16" s="363" t="str">
        <x:v>Nbr flux</x:v>
      </x:c>
      <x:c r="Q16" s="363" t="str">
        <x:v>id de flux</x:v>
      </x:c>
      <x:c r="R16" s="363" t="str">
        <x:v>Nbr flux</x:v>
      </x:c>
      <x:c r="S16" s="363" t="str">
        <x:v>id de flux</x:v>
      </x:c>
      <x:c r="T16" s="363" t="str">
        <x:v>Nbr flux</x:v>
      </x:c>
      <x:c r="U16" s="363" t="str">
        <x:v>id de flux</x:v>
      </x:c>
      <x:c r="V16" s="363" t="str"/>
      <x:c r="W16" s="363" t="str"/>
      <x:c r="X16" s="363" t="str"/>
      <x:c r="Y16" s="363" t="str"/>
      <x:c r="Z16" s="363" t="str"/>
      <x:c r="AA16" s="363" t="str"/>
      <x:c r="AB16" s="363" t="str"/>
      <x:c r="AC16"/>
      <x:c r="AD16"/>
      <x:c r="AE16"/>
      <x:c r="AF16"/>
      <x:c r="AG16"/>
    </x:row>
    <x:row r="17" ht="90" hidden="0" customHeight="1">
      <x:c r="A17" s="363" t="str"/>
      <x:c r="B17" s="363" t="str"/>
      <x:c r="C17" s="363" t="str"/>
      <x:c r="D17" s="363" t="str"/>
      <x:c r="E17" s="363" t="str">
        <x:v>SIT</x:v>
      </x:c>
      <x:c r="F17" s="363" t="str">
        <x:v>15</x:v>
      </x:c>
      <x:c r="G17" s="363" t="str">
        <x:v>14</x:v>
      </x:c>
      <x:c r="H17" s="363" t="str">
        <x:v>MM7 v1.5
MM4-1 � 5 v1.5
MM5-1 � 5 v1.5OA5-2 v1.14.0
PC06-2
PC07</x:v>
      </x:c>
      <x:c r="I17" s="363" t="str">
        <x:v>0</x:v>
      </x:c>
      <x:c r="J17" s="363" t="str"/>
      <x:c r="K17" s="363" t="str">
        <x:v>1</x:v>
      </x:c>
      <x:c r="L17" s="363" t="str">
        <x:v>MM7 v1.5 (rollback)</x:v>
      </x:c>
      <x:c r="M17" s="363" t="str"/>
      <x:c r="N17" s="363" t="str">
        <x:v>SIT</x:v>
      </x:c>
      <x:c r="O17" s="363" t="str">
        <x:v>10</x:v>
      </x:c>
      <x:c r="P17" s="363" t="str">
        <x:v>10</x:v>
      </x:c>
      <x:c r="Q17" s="363" t="str">
        <x:v>CMS14_001v1.5 CMS14_002v1.5
CMS4_001 v2.9 CMS-22 v1.3OA3_002v1.3 CNT-EM6 V1.7
CNT-EM9 V1.7
CNT-EM15 V1.7
CNT-EM18 V1.7</x:v>
      </x:c>
      <x:c r="R17" s="363" t="str">
        <x:v>0</x:v>
      </x:c>
      <x:c r="S17" s="363" t="str"/>
      <x:c r="T17" s="363" t="str">
        <x:v>0</x:v>
      </x:c>
      <x:c r="U17" s="363" t="str"/>
      <x:c r="V17" s="363" t="str"/>
      <x:c r="W17" s="363" t="str"/>
      <x:c r="X17" s="363" t="str"/>
      <x:c r="Y17" s="363" t="str"/>
      <x:c r="Z17" s="363" t="str"/>
      <x:c r="AA17" s="363" t="str"/>
      <x:c r="AB17" s="363" t="str"/>
      <x:c r="AC17"/>
      <x:c r="AD17"/>
      <x:c r="AE17"/>
      <x:c r="AF17"/>
      <x:c r="AG17"/>
    </x:row>
    <x:row r="18" ht="90" hidden="0" customHeight="1">
      <x:c r="A18" s="363" t="str"/>
      <x:c r="B18" s="363" t="str"/>
      <x:c r="C18" s="363" t="str"/>
      <x:c r="D18" s="363" t="str"/>
      <x:c r="E18" s="363" t="str">
        <x:v>UAT</x:v>
      </x:c>
      <x:c r="F18" s="363" t="str">
        <x:v>14</x:v>
      </x:c>
      <x:c r="G18" s="363" t="str">
        <x:v>14</x:v>
      </x:c>
      <x:c r="H18" s="363" t="str">
        <x:v>MM7 v1.5
MM4-1 � 5 v1.5
MM5-1 � 5 v1.5OA5-2 v1.14.0
PC06-2
PC07</x:v>
      </x:c>
      <x:c r="I18" s="363" t="str">
        <x:v>0</x:v>
      </x:c>
      <x:c r="J18" s="363" t="str"/>
      <x:c r="K18" s="363" t="str">
        <x:v>0</x:v>
      </x:c>
      <x:c r="L18" s="363" t="str"/>
      <x:c r="M18" s="363" t="str"/>
      <x:c r="N18" s="363" t="str">
        <x:v>UAT</x:v>
      </x:c>
      <x:c r="O18" s="363" t="str">
        <x:v>10</x:v>
      </x:c>
      <x:c r="P18" s="363" t="str">
        <x:v>10</x:v>
      </x:c>
      <x:c r="Q18" s="363" t="str">
        <x:v>CMS14_001v1.5 CMS14_002v1.5
CMS4_001 v2.9 CMS-22 v1.3
OA3_002v1.3
CNT-EM6 V1.7
CNT-EM9 V1.7
CNT-EM15 V1.7
CNT-EM18 V1.7</x:v>
      </x:c>
      <x:c r="R18" s="363" t="str">
        <x:v>0</x:v>
      </x:c>
      <x:c r="S18" s="363" t="str"/>
      <x:c r="T18" s="363" t="str">
        <x:v>0</x:v>
      </x:c>
      <x:c r="U18" s="363" t="str"/>
      <x:c r="V18" s="363" t="str"/>
      <x:c r="W18" s="363" t="str"/>
      <x:c r="X18" s="363" t="str"/>
      <x:c r="Y18" s="363" t="str"/>
      <x:c r="Z18" s="363" t="str"/>
      <x:c r="AA18" s="363" t="str"/>
      <x:c r="AB18" s="363" t="str"/>
      <x:c r="AC18"/>
      <x:c r="AD18"/>
      <x:c r="AE18"/>
      <x:c r="AF18"/>
      <x:c r="AG18"/>
    </x:row>
    <x:row r="19" ht="14.399999618530273" hidden="0" customHeight="1">
      <x:c r="A19" s="373" t="str"/>
      <x:c r="B19" s="373" t="str"/>
      <x:c r="C19" s="373" t="str"/>
      <x:c r="D19" s="373" t="str"/>
      <x:c r="E19" s="373" t="str">
        <x:v>Arbitrage</x:v>
      </x:c>
      <x:c r="F19" s="373" t="str"/>
      <x:c r="G19" s="373" t="str"/>
      <x:c r="H19" s="373" t="str"/>
      <x:c r="I19" s="373" t="str"/>
      <x:c r="J19" s="373" t="str"/>
      <x:c r="K19" s="373" t="str"/>
      <x:c r="L19" s="373" t="str">
        <x:v>NON</x:v>
      </x:c>
      <x:c r="M19" s="373" t="str"/>
      <x:c r="N19" s="373" t="str">
        <x:v>Arbitrage</x:v>
      </x:c>
      <x:c r="O19" s="373" t="str"/>
      <x:c r="P19" s="373" t="str"/>
      <x:c r="Q19" s="373" t="str"/>
      <x:c r="R19" s="373" t="str"/>
      <x:c r="S19" s="373" t="str"/>
      <x:c r="T19" s="373" t="str"/>
      <x:c r="U19" s="373" t="str">
        <x:v>NON</x:v>
      </x:c>
      <x:c r="V19" s="373" t="str"/>
      <x:c r="W19" s="373" t="str"/>
      <x:c r="X19" s="373" t="str"/>
      <x:c r="Y19" s="373" t="str"/>
      <x:c r="Z19" s="373" t="str"/>
      <x:c r="AA19" s="373" t="str"/>
      <x:c r="AB19" s="373" t="str"/>
      <x:c r="AC19"/>
      <x:c r="AD19"/>
      <x:c r="AE19"/>
      <x:c r="AF19"/>
      <x:c r="AG19"/>
    </x:row>
    <x:row r="20" ht="14.399999618530273" hidden="0" customHeight="1">
      <x:c r="A20" s="363" t="str"/>
      <x:c r="B20" s="363" t="str"/>
      <x:c r="C20" s="363" t="str"/>
      <x:c r="D20" s="363" t="str"/>
      <x:c r="E20" s="363" t="str">
        <x:v>Id flux</x:v>
      </x:c>
      <x:c r="F20" s="363" t="str">
        <x:v>Version</x:v>
      </x:c>
      <x:c r="G20" s="363" t="str">
        <x:v>Descritpion</x:v>
      </x:c>
      <x:c r="H20" s="363" t="str"/>
      <x:c r="I20" s="363" t="str"/>
      <x:c r="J20" s="363" t="str"/>
      <x:c r="K20" s="363" t="str"/>
      <x:c r="L20" s="363" t="str"/>
      <x:c r="M20" s="363" t="str"/>
      <x:c r="N20" s="363" t="str">
        <x:v>Id flux</x:v>
      </x:c>
      <x:c r="O20" s="363" t="str">
        <x:v>Version</x:v>
      </x:c>
      <x:c r="P20" s="363" t="str">
        <x:v>Descritpion</x:v>
      </x:c>
      <x:c r="Q20" s="363" t="str"/>
      <x:c r="R20" s="363" t="str"/>
      <x:c r="S20" s="363" t="str"/>
      <x:c r="T20" s="363" t="str"/>
      <x:c r="U20" s="363" t="str"/>
      <x:c r="V20" s="363" t="str"/>
      <x:c r="W20" s="363" t="str"/>
      <x:c r="X20" s="363" t="str"/>
      <x:c r="Y20" s="363" t="str"/>
      <x:c r="Z20" s="363" t="str"/>
      <x:c r="AA20" s="363" t="str"/>
      <x:c r="AB20" s="363" t="str"/>
      <x:c r="AC20"/>
      <x:c r="AD20"/>
      <x:c r="AE20"/>
      <x:c r="AF20"/>
      <x:c r="AG20"/>
    </x:row>
    <x:row r="21" ht="26.399999618530273" hidden="0" customHeight="1">
      <x:c r="A21" s="368" t="str"/>
      <x:c r="B21" s="368" t="str"/>
      <x:c r="C21" s="368" t="str"/>
      <x:c r="D21" s="368" t="str"/>
      <x:c r="E21" s="368" t="str"/>
      <x:c r="F21" s="368" t="str"/>
      <x:c r="G21" s="368" t="str"/>
      <x:c r="H21" s="368" t="str">
        <x:v>Chaine de valeur service</x:v>
      </x:c>
      <x:c r="I21" s="368" t="str"/>
      <x:c r="J21" s="368" t="str"/>
      <x:c r="K21" s="368" t="str"/>
      <x:c r="L21" s="368" t="str"/>
      <x:c r="M21" s="368" t="str"/>
      <x:c r="N21" s="368" t="str"/>
      <x:c r="O21" s="368" t="str"/>
      <x:c r="P21" s="368" t="str"/>
      <x:c r="Q21" s="368" t="str"/>
      <x:c r="R21" s="368" t="str"/>
      <x:c r="S21" s="368" t="str"/>
      <x:c r="T21" s="368" t="str"/>
      <x:c r="U21" s="368" t="str"/>
      <x:c r="V21" s="368" t="str"/>
      <x:c r="W21" s="368" t="str"/>
      <x:c r="X21" s="368" t="str"/>
      <x:c r="Y21" s="368" t="str"/>
      <x:c r="Z21" s="368" t="str"/>
      <x:c r="AA21" s="368" t="str"/>
      <x:c r="AB21" s="368" t="str"/>
      <x:c r="AC21"/>
      <x:c r="AD21"/>
      <x:c r="AE21"/>
      <x:c r="AF21"/>
      <x:c r="AG21"/>
    </x:row>
    <x:row r="22" ht="14.399999618530273" hidden="0" customHeight="1">
      <x:c r="A22" s="371" t="str"/>
      <x:c r="B22" s="371" t="str"/>
      <x:c r="C22" s="371" t="str"/>
      <x:c r="D22" s="371" t="str"/>
      <x:c r="E22" s="371" t="str"/>
      <x:c r="F22" s="371" t="str"/>
      <x:c r="G22" s="371" t="str"/>
      <x:c r="H22" s="371" t="str">
        <x:v>ACQUISITION</x:v>
      </x:c>
      <x:c r="I22" s="371" t="str"/>
      <x:c r="J22" s="371" t="str"/>
      <x:c r="K22" s="371" t="str"/>
      <x:c r="L22" s="371" t="str"/>
      <x:c r="M22" s="371" t="str"/>
      <x:c r="N22" s="371" t="str">
        <x:v>EMISSION</x:v>
      </x:c>
      <x:c r="O22" s="371" t="str"/>
      <x:c r="P22" s="371" t="str"/>
      <x:c r="Q22" s="371" t="str"/>
      <x:c r="R22" s="371" t="str"/>
      <x:c r="S22" s="371" t="str"/>
      <x:c r="T22" s="371" t="str"/>
      <x:c r="U22" s="371" t="str"/>
      <x:c r="V22" s="371" t="str"/>
      <x:c r="W22" s="371" t="str"/>
      <x:c r="X22" s="371" t="str"/>
      <x:c r="Y22" s="371" t="str"/>
      <x:c r="Z22" s="371" t="str"/>
      <x:c r="AA22" s="371" t="str"/>
      <x:c r="AB22" s="371" t="str"/>
      <x:c r="AC22"/>
      <x:c r="AD22"/>
      <x:c r="AE22"/>
      <x:c r="AF22"/>
      <x:c r="AG22"/>
    </x:row>
    <x:row r="23" ht="32.400001525878906" hidden="0" customHeight="1">
      <x:c r="A23" s="373" t="str"/>
      <x:c r="B23" s="373" t="str"/>
      <x:c r="C23" s="373" t="str"/>
      <x:c r="D23" s="373" t="str"/>
      <x:c r="E23" s="373" t="str"/>
      <x:c r="F23" s="373" t="str"/>
      <x:c r="G23" s="373" t="str"/>
      <x:c r="H23" s="373" t="str">
        <x:v>TOTAUX</x:v>
      </x:c>
      <x:c r="I23" s="373" t="str"/>
      <x:c r="J23" s="373" t="str">
        <x:v>Mise à disposition par environnement</x:v>
      </x:c>
      <x:c r="K23" s="373" t="str"/>
      <x:c r="L23" s="373" t="str"/>
      <x:c r="M23" s="373" t="str"/>
      <x:c r="N23" s="373" t="str">
        <x:v>TOTAUX</x:v>
      </x:c>
      <x:c r="O23" s="373" t="str"/>
      <x:c r="P23" s="373" t="str">
        <x:v>Mise à disposition par environnement</x:v>
      </x:c>
      <x:c r="Q23" s="373" t="str"/>
      <x:c r="R23" s="373" t="str"/>
      <x:c r="S23" s="373" t="str"/>
      <x:c r="T23" s="373" t="str"/>
      <x:c r="U23" s="373" t="str"/>
      <x:c r="V23" s="373" t="str"/>
      <x:c r="W23" s="373" t="str"/>
      <x:c r="X23" s="373" t="str"/>
      <x:c r="Y23" s="373" t="str"/>
      <x:c r="Z23" s="373" t="str"/>
      <x:c r="AA23" s="373" t="str"/>
      <x:c r="AB23" s="373" t="str"/>
      <x:c r="AC23"/>
      <x:c r="AD23"/>
      <x:c r="AE23"/>
      <x:c r="AF23"/>
      <x:c r="AG23"/>
    </x:row>
    <x:row r="24" ht="14.399999618530273" hidden="0" customHeight="1">
      <x:c r="A24" s="363" t="str"/>
      <x:c r="B24" s="363" t="str"/>
      <x:c r="C24" s="363" t="str"/>
      <x:c r="D24" s="363" t="str"/>
      <x:c r="E24" s="363" t="str"/>
      <x:c r="F24" s="363" t="str"/>
      <x:c r="G24" s="363" t="str"/>
      <x:c r="H24" s="363" t="str">
        <x:v>Services</x:v>
      </x:c>
      <x:c r="I24" s="363" t="str"/>
      <x:c r="J24" s="363" t="str">
        <x:v>Dev</x:v>
      </x:c>
      <x:c r="K24" s="363" t="str">
        <x:v>SIT</x:v>
      </x:c>
      <x:c r="L24" s="363" t="str">
        <x:v>UAT</x:v>
      </x:c>
      <x:c r="M24" s="363" t="str"/>
      <x:c r="N24" s="363" t="str">
        <x:v>Services</x:v>
      </x:c>
      <x:c r="O24" s="363" t="str"/>
      <x:c r="P24" s="363" t="str">
        <x:v>Dev</x:v>
      </x:c>
      <x:c r="Q24" s="363" t="str">
        <x:v>SIT</x:v>
      </x:c>
      <x:c r="R24" s="363" t="str">
        <x:v>UAT</x:v>
      </x:c>
      <x:c r="S24" s="363" t="str"/>
      <x:c r="T24" s="363" t="str"/>
      <x:c r="U24" s="363" t="str"/>
      <x:c r="V24" s="363" t="str"/>
      <x:c r="W24" s="363" t="str"/>
      <x:c r="X24" s="363" t="str"/>
      <x:c r="Y24" s="363" t="str"/>
      <x:c r="Z24" s="363" t="str"/>
      <x:c r="AA24" s="363" t="str"/>
      <x:c r="AB24" s="363" t="str"/>
      <x:c r="AC24"/>
      <x:c r="AD24"/>
      <x:c r="AE24"/>
      <x:c r="AF24"/>
      <x:c r="AG24"/>
    </x:row>
    <x:row r="25" ht="14.399999618530273" hidden="0" customHeight="1">
      <x:c r="A25" s="363" t="str"/>
      <x:c r="B25" s="363" t="str"/>
      <x:c r="C25" s="363" t="str"/>
      <x:c r="D25" s="363" t="str"/>
      <x:c r="E25" s="363" t="str"/>
      <x:c r="F25" s="363" t="str"/>
      <x:c r="G25" s="363" t="str"/>
      <x:c r="H25" s="363" t="str">
        <x:v>Tranfert</x:v>
      </x:c>
      <x:c r="I25" s="363" t="str">
        <x:v>File to File</x:v>
      </x:c>
      <x:c r="J25" s="363" t="str">
        <x:v>x</x:v>
      </x:c>
      <x:c r="K25" s="363" t="str"/>
      <x:c r="L25" s="363" t="str"/>
      <x:c r="M25" s="363" t="str"/>
      <x:c r="N25" s="363" t="str">
        <x:v>Tranfert</x:v>
      </x:c>
      <x:c r="O25" s="363" t="str">
        <x:v>File to File</x:v>
      </x:c>
      <x:c r="P25" s="363" t="str">
        <x:v>x</x:v>
      </x:c>
      <x:c r="Q25" s="363" t="str"/>
      <x:c r="R25" s="363" t="str"/>
      <x:c r="S25" s="363" t="str"/>
      <x:c r="T25" s="363" t="str"/>
      <x:c r="U25" s="363" t="str"/>
      <x:c r="V25" s="363" t="str"/>
      <x:c r="W25" s="363" t="str"/>
      <x:c r="X25" s="363" t="str"/>
      <x:c r="Y25" s="363" t="str"/>
      <x:c r="Z25" s="363" t="str"/>
      <x:c r="AA25" s="363" t="str"/>
      <x:c r="AB25" s="363" t="str"/>
      <x:c r="AC25"/>
      <x:c r="AD25"/>
      <x:c r="AE25"/>
      <x:c r="AF25"/>
      <x:c r="AG25"/>
    </x:row>
    <x:row r="26" ht="14.399999618530273" hidden="0" customHeight="1">
      <x:c r="A26" s="363" t="str"/>
      <x:c r="B26" s="363" t="str"/>
      <x:c r="C26" s="363" t="str"/>
      <x:c r="D26" s="363" t="str"/>
      <x:c r="E26" s="363" t="str"/>
      <x:c r="F26" s="363" t="str"/>
      <x:c r="G26" s="363" t="str"/>
      <x:c r="H26" s="363" t="str"/>
      <x:c r="I26" s="363" t="str">
        <x:v>File to Event</x:v>
      </x:c>
      <x:c r="J26" s="363" t="str"/>
      <x:c r="K26" s="363" t="str"/>
      <x:c r="L26" s="363" t="str"/>
      <x:c r="M26" s="363" t="str"/>
      <x:c r="N26" s="363" t="str"/>
      <x:c r="O26" s="363" t="str">
        <x:v>File to Event</x:v>
      </x:c>
      <x:c r="P26" s="363" t="str"/>
      <x:c r="Q26" s="363" t="str"/>
      <x:c r="R26" s="363" t="str"/>
      <x:c r="S26" s="363" t="str"/>
      <x:c r="T26" s="363" t="str"/>
      <x:c r="U26" s="363" t="str"/>
      <x:c r="V26" s="363" t="str"/>
      <x:c r="W26" s="363" t="str"/>
      <x:c r="X26" s="363" t="str"/>
      <x:c r="Y26" s="363" t="str"/>
      <x:c r="Z26" s="363" t="str"/>
      <x:c r="AA26" s="363" t="str"/>
      <x:c r="AB26" s="363" t="str"/>
      <x:c r="AC26"/>
      <x:c r="AD26"/>
      <x:c r="AE26"/>
      <x:c r="AF26"/>
      <x:c r="AG26"/>
    </x:row>
    <x:row r="27" ht="14.399999618530273" hidden="0" customHeight="1">
      <x:c r="A27" s="363" t="str"/>
      <x:c r="B27" s="363" t="str"/>
      <x:c r="C27" s="363" t="str"/>
      <x:c r="D27" s="363" t="str"/>
      <x:c r="E27" s="363" t="str"/>
      <x:c r="F27" s="363" t="str"/>
      <x:c r="G27" s="363" t="str"/>
      <x:c r="H27" s="363" t="str"/>
      <x:c r="I27" s="363" t="str">
        <x:v>API to API</x:v>
      </x:c>
      <x:c r="J27" s="363" t="str">
        <x:v>x</x:v>
      </x:c>
      <x:c r="K27" s="363" t="str">
        <x:v>x</x:v>
      </x:c>
      <x:c r="L27" s="363" t="str">
        <x:v>x</x:v>
      </x:c>
      <x:c r="M27" s="363" t="str"/>
      <x:c r="N27" s="363" t="str"/>
      <x:c r="O27" s="363" t="str">
        <x:v>API to API</x:v>
      </x:c>
      <x:c r="P27" s="363" t="str">
        <x:v>x</x:v>
      </x:c>
      <x:c r="Q27" s="363" t="str">
        <x:v>x</x:v>
      </x:c>
      <x:c r="R27" s="363" t="str">
        <x:v>x</x:v>
      </x:c>
      <x:c r="S27" s="363" t="str"/>
      <x:c r="T27" s="363" t="str"/>
      <x:c r="U27" s="363" t="str"/>
      <x:c r="V27" s="363" t="str"/>
      <x:c r="W27" s="363" t="str"/>
      <x:c r="X27" s="363" t="str"/>
      <x:c r="Y27" s="363" t="str"/>
      <x:c r="Z27" s="363" t="str"/>
      <x:c r="AA27" s="363" t="str"/>
      <x:c r="AB27" s="363" t="str"/>
      <x:c r="AC27"/>
      <x:c r="AD27"/>
      <x:c r="AE27"/>
      <x:c r="AF27"/>
      <x:c r="AG27"/>
    </x:row>
    <x:row r="28" ht="14.399999618530273" hidden="0" customHeight="1">
      <x:c r="A28" s="363" t="str"/>
      <x:c r="B28" s="363" t="str"/>
      <x:c r="C28" s="363" t="str"/>
      <x:c r="D28" s="363" t="str"/>
      <x:c r="E28" s="363" t="str"/>
      <x:c r="F28" s="363" t="str"/>
      <x:c r="G28" s="363" t="str"/>
      <x:c r="H28" s="363" t="str"/>
      <x:c r="I28" s="363" t="str">
        <x:v>API to Event</x:v>
      </x:c>
      <x:c r="J28" s="363" t="str">
        <x:v>x</x:v>
      </x:c>
      <x:c r="K28" s="363" t="str">
        <x:v>x</x:v>
      </x:c>
      <x:c r="L28" s="363" t="str">
        <x:v>x</x:v>
      </x:c>
      <x:c r="M28" s="363" t="str"/>
      <x:c r="N28" s="363" t="str"/>
      <x:c r="O28" s="363" t="str">
        <x:v>API to Event</x:v>
      </x:c>
      <x:c r="P28" s="363" t="str">
        <x:v>x</x:v>
      </x:c>
      <x:c r="Q28" s="363" t="str">
        <x:v>x</x:v>
      </x:c>
      <x:c r="R28" s="363" t="str">
        <x:v>x</x:v>
      </x:c>
      <x:c r="S28" s="363" t="str"/>
      <x:c r="T28" s="363" t="str"/>
      <x:c r="U28" s="363" t="str"/>
      <x:c r="V28" s="363" t="str"/>
      <x:c r="W28" s="363" t="str"/>
      <x:c r="X28" s="363" t="str"/>
      <x:c r="Y28" s="363" t="str"/>
      <x:c r="Z28" s="363" t="str"/>
      <x:c r="AA28" s="363" t="str"/>
      <x:c r="AB28" s="363" t="str"/>
      <x:c r="AC28"/>
      <x:c r="AD28"/>
      <x:c r="AE28"/>
      <x:c r="AF28"/>
      <x:c r="AG28"/>
    </x:row>
    <x:row r="29" ht="14.399999618530273" hidden="0" customHeight="1">
      <x:c r="A29" s="363" t="str"/>
      <x:c r="B29" s="363" t="str"/>
      <x:c r="C29" s="363" t="str"/>
      <x:c r="D29" s="363" t="str"/>
      <x:c r="E29" s="363" t="str"/>
      <x:c r="F29" s="363" t="str"/>
      <x:c r="G29" s="363" t="str"/>
      <x:c r="H29" s="363" t="str"/>
      <x:c r="I29" s="363" t="str">
        <x:v>Orchestration GED</x:v>
      </x:c>
      <x:c r="J29" s="363" t="str">
        <x:v>x</x:v>
      </x:c>
      <x:c r="K29" s="363" t="str"/>
      <x:c r="L29" s="363" t="str"/>
      <x:c r="M29" s="363" t="str"/>
      <x:c r="N29" s="363" t="str"/>
      <x:c r="O29" s="363" t="str">
        <x:v>Orchestration GED</x:v>
      </x:c>
      <x:c r="P29" s="363" t="str">
        <x:v>x</x:v>
      </x:c>
      <x:c r="Q29" s="363" t="str"/>
      <x:c r="R29" s="363" t="str"/>
      <x:c r="S29" s="363" t="str"/>
      <x:c r="T29" s="363" t="str"/>
      <x:c r="U29" s="363" t="str"/>
      <x:c r="V29" s="363" t="str"/>
      <x:c r="W29" s="363" t="str"/>
      <x:c r="X29" s="363" t="str"/>
      <x:c r="Y29" s="363" t="str"/>
      <x:c r="Z29" s="363" t="str"/>
      <x:c r="AA29" s="363" t="str"/>
      <x:c r="AB29" s="363" t="str"/>
      <x:c r="AC29"/>
      <x:c r="AD29"/>
      <x:c r="AE29"/>
      <x:c r="AF29"/>
      <x:c r="AG29"/>
    </x:row>
    <x:row r="30" ht="21.600000381469727" hidden="0" customHeight="1">
      <x:c r="A30" s="363" t="str"/>
      <x:c r="B30" s="363" t="str"/>
      <x:c r="C30" s="363" t="str"/>
      <x:c r="D30" s="363" t="str"/>
      <x:c r="E30" s="363" t="str"/>
      <x:c r="F30" s="363" t="str"/>
      <x:c r="G30" s="363" t="str"/>
      <x:c r="H30" s="363" t="str"/>
      <x:c r="I30" s="363" t="str">
        <x:v>Authentification M2M</x:v>
      </x:c>
      <x:c r="J30" s="363" t="str">
        <x:v>x</x:v>
      </x:c>
      <x:c r="K30" s="363" t="str">
        <x:v>x</x:v>
      </x:c>
      <x:c r="L30" s="363" t="str">
        <x:v>x</x:v>
      </x:c>
      <x:c r="M30" s="363" t="str"/>
      <x:c r="N30" s="363" t="str"/>
      <x:c r="O30" s="363" t="str">
        <x:v>Authentification M2M</x:v>
      </x:c>
      <x:c r="P30" s="363" t="str">
        <x:v>x</x:v>
      </x:c>
      <x:c r="Q30" s="363" t="str">
        <x:v>x</x:v>
      </x:c>
      <x:c r="R30" s="363" t="str">
        <x:v>x</x:v>
      </x:c>
      <x:c r="S30" s="363" t="str"/>
      <x:c r="T30" s="363" t="str"/>
      <x:c r="U30" s="363" t="str"/>
      <x:c r="V30" s="363" t="str"/>
      <x:c r="W30" s="363" t="str"/>
      <x:c r="X30" s="363" t="str"/>
      <x:c r="Y30" s="363" t="str"/>
      <x:c r="Z30" s="363" t="str"/>
      <x:c r="AA30" s="363" t="str"/>
      <x:c r="AB30" s="363" t="str"/>
      <x:c r="AC30"/>
      <x:c r="AD30"/>
      <x:c r="AE30"/>
      <x:c r="AF30"/>
      <x:c r="AG30"/>
    </x:row>
    <x:row r="31" ht="14.399999618530273" hidden="0" customHeight="1">
      <x:c r="A31" s="363" t="str"/>
      <x:c r="B31" s="363" t="str"/>
      <x:c r="C31" s="363" t="str"/>
      <x:c r="D31" s="363" t="str"/>
      <x:c r="E31" s="363" t="str"/>
      <x:c r="F31" s="363" t="str"/>
      <x:c r="G31" s="363" t="str"/>
      <x:c r="H31" s="363" t="str">
        <x:v>Trasnformation</x:v>
      </x:c>
      <x:c r="I31" s="363" t="str">
        <x:v>Aliasing</x:v>
      </x:c>
      <x:c r="J31" s="363" t="str">
        <x:v>x</x:v>
      </x:c>
      <x:c r="K31" s="363" t="str"/>
      <x:c r="L31" s="363" t="str"/>
      <x:c r="M31" s="363" t="str"/>
      <x:c r="N31" s="363" t="str">
        <x:v>Trasnformation</x:v>
      </x:c>
      <x:c r="O31" s="363" t="str">
        <x:v>Aliasing</x:v>
      </x:c>
      <x:c r="P31" s="363" t="str">
        <x:v>x</x:v>
      </x:c>
      <x:c r="Q31" s="363" t="str"/>
      <x:c r="R31" s="363" t="str"/>
      <x:c r="S31" s="363" t="str"/>
      <x:c r="T31" s="363" t="str"/>
      <x:c r="U31" s="363" t="str"/>
      <x:c r="V31" s="363" t="str"/>
      <x:c r="W31" s="363" t="str"/>
      <x:c r="X31" s="363" t="str"/>
      <x:c r="Y31" s="363" t="str"/>
      <x:c r="Z31" s="363" t="str"/>
      <x:c r="AA31" s="363" t="str"/>
      <x:c r="AB31" s="363" t="str"/>
      <x:c r="AC31"/>
      <x:c r="AD31"/>
      <x:c r="AE31"/>
      <x:c r="AF31"/>
      <x:c r="AG31"/>
    </x:row>
    <x:row r="32" ht="21.600000381469727" hidden="0" customHeight="1">
      <x:c r="A32" s="363" t="str"/>
      <x:c r="B32" s="363" t="str"/>
      <x:c r="C32" s="363" t="str"/>
      <x:c r="D32" s="363" t="str"/>
      <x:c r="E32" s="363" t="str"/>
      <x:c r="F32" s="363" t="str"/>
      <x:c r="G32" s="363" t="str"/>
      <x:c r="H32" s="363" t="str"/>
      <x:c r="I32" s="363" t="str">
        <x:v>Appel Crypto-Service</x:v>
      </x:c>
      <x:c r="J32" s="363" t="str"/>
      <x:c r="K32" s="363" t="str"/>
      <x:c r="L32" s="363" t="str"/>
      <x:c r="M32" s="363" t="str"/>
      <x:c r="N32" s="363" t="str"/>
      <x:c r="O32" s="363" t="str">
        <x:v>Appel Crypto-Service</x:v>
      </x:c>
      <x:c r="P32" s="363" t="str"/>
      <x:c r="Q32" s="363" t="str"/>
      <x:c r="R32" s="363" t="str"/>
      <x:c r="S32" s="363" t="str"/>
      <x:c r="T32" s="363" t="str"/>
      <x:c r="U32" s="363" t="str"/>
      <x:c r="V32" s="363" t="str"/>
      <x:c r="W32" s="363" t="str"/>
      <x:c r="X32" s="363" t="str"/>
      <x:c r="Y32" s="363" t="str"/>
      <x:c r="Z32" s="363" t="str"/>
      <x:c r="AA32" s="363" t="str"/>
      <x:c r="AB32" s="363" t="str"/>
      <x:c r="AC32"/>
      <x:c r="AD32"/>
      <x:c r="AE32"/>
      <x:c r="AF32"/>
      <x:c r="AG32"/>
    </x:row>
    <x:row r="33" ht="39.599998474121094" hidden="0" customHeight="1">
      <x:c r="A33" s="368" t="str"/>
      <x:c r="B33" s="368" t="str"/>
      <x:c r="C33" s="368" t="str"/>
      <x:c r="D33" s="368" t="str">
        <x:v>Phase 2 : Connectivité d'arrimage Estreem/SI Entité via GIL</x:v>
      </x:c>
      <x:c r="E33" s="368" t="str"/>
      <x:c r="F33" s="368" t="str"/>
      <x:c r="G33" s="368" t="str"/>
      <x:c r="H33" s="368" t="str"/>
      <x:c r="I33" s="368" t="str"/>
      <x:c r="J33" s="368" t="str"/>
      <x:c r="K33" s="368" t="str"/>
      <x:c r="L33" s="368" t="str"/>
      <x:c r="M33" s="368" t="str"/>
      <x:c r="N33" s="368" t="str"/>
      <x:c r="O33" s="368" t="str"/>
      <x:c r="P33" s="368" t="str"/>
      <x:c r="Q33" s="368" t="str"/>
      <x:c r="R33" s="368" t="str"/>
      <x:c r="S33" s="368" t="str"/>
      <x:c r="T33" s="368" t="str"/>
      <x:c r="U33" s="368" t="str"/>
      <x:c r="V33" s="368" t="str"/>
      <x:c r="W33" s="368" t="str"/>
      <x:c r="X33" s="368" t="str"/>
      <x:c r="Y33" s="368" t="str"/>
      <x:c r="Z33" s="368" t="str"/>
      <x:c r="AA33" s="368" t="str"/>
      <x:c r="AB33" s="368" t="str"/>
      <x:c r="AC33"/>
      <x:c r="AD33"/>
      <x:c r="AE33"/>
      <x:c r="AF33"/>
      <x:c r="AG33"/>
    </x:row>
    <x:row r="34" ht="14.399999618530273" hidden="0" customHeight="1">
      <x:c r="A34" s="371" t="str"/>
      <x:c r="B34" s="371" t="str"/>
      <x:c r="C34" s="371" t="str"/>
      <x:c r="D34" s="371" t="str"/>
      <x:c r="E34" s="371" t="str">
        <x:v>ACQUISITION</x:v>
      </x:c>
      <x:c r="F34" s="371" t="str"/>
      <x:c r="G34" s="371" t="str"/>
      <x:c r="H34" s="371" t="str"/>
      <x:c r="I34" s="371" t="str"/>
      <x:c r="J34" s="371" t="str"/>
      <x:c r="K34" s="371" t="str"/>
      <x:c r="L34" s="371" t="str"/>
      <x:c r="M34" s="371" t="str"/>
      <x:c r="N34" s="371" t="str">
        <x:v>EMISISON</x:v>
      </x:c>
      <x:c r="O34" s="371" t="str"/>
      <x:c r="P34" s="371" t="str"/>
      <x:c r="Q34" s="371" t="str"/>
      <x:c r="R34" s="371" t="str"/>
      <x:c r="S34" s="371" t="str"/>
      <x:c r="T34" s="371" t="str"/>
      <x:c r="U34" s="371" t="str"/>
      <x:c r="V34" s="371" t="str"/>
      <x:c r="W34" s="371" t="str"/>
      <x:c r="X34" s="371" t="str"/>
      <x:c r="Y34" s="371" t="str"/>
      <x:c r="Z34" s="371" t="str"/>
      <x:c r="AA34" s="371" t="str"/>
      <x:c r="AB34" s="371" t="str"/>
      <x:c r="AC34"/>
      <x:c r="AD34"/>
      <x:c r="AE34"/>
      <x:c r="AF34"/>
      <x:c r="AG34"/>
    </x:row>
    <x:row r="35" ht="14.399999618530273" hidden="0" customHeight="1">
      <x:c r="A35" s="373" t="str"/>
      <x:c r="B35" s="373" t="str"/>
      <x:c r="C35" s="373" t="str"/>
      <x:c r="D35" s="373" t="str"/>
      <x:c r="E35" s="373" t="str">
        <x:v>TOTAUX</x:v>
      </x:c>
      <x:c r="F35" s="373" t="str">
        <x:v>Caractéristique</x:v>
      </x:c>
      <x:c r="G35" s="373" t="str"/>
      <x:c r="H35" s="373" t="str">
        <x:v>Total</x:v>
      </x:c>
      <x:c r="I35" s="373" t="str">
        <x:v>Trait�</x:v>
      </x:c>
      <x:c r="J35" s="373" t="str"/>
      <x:c r="K35" s="373" t="str">
        <x:v>En cours</x:v>
      </x:c>
      <x:c r="L35" s="373" t="str"/>
      <x:c r="M35" s="373" t="str"/>
      <x:c r="N35" s="373" t="str">
        <x:v>TOTAUX</x:v>
      </x:c>
      <x:c r="O35" s="373" t="str">
        <x:v>Caractéristique</x:v>
      </x:c>
      <x:c r="P35" s="373" t="str"/>
      <x:c r="Q35" s="373" t="str">
        <x:v>Total</x:v>
      </x:c>
      <x:c r="R35" s="373" t="str">
        <x:v>Trait�</x:v>
      </x:c>
      <x:c r="S35" s="373" t="str"/>
      <x:c r="T35" s="373" t="str">
        <x:v>En cours</x:v>
      </x:c>
      <x:c r="U35" s="373" t="str"/>
      <x:c r="V35" s="373" t="str"/>
      <x:c r="W35" s="373" t="str"/>
      <x:c r="X35" s="373" t="str"/>
      <x:c r="Y35" s="373" t="str"/>
      <x:c r="Z35" s="373" t="str"/>
      <x:c r="AA35" s="373" t="str"/>
      <x:c r="AB35" s="373" t="str"/>
      <x:c r="AC35"/>
      <x:c r="AD35"/>
      <x:c r="AE35"/>
      <x:c r="AF35"/>
      <x:c r="AG35"/>
    </x:row>
    <x:row r="36" ht="14.399999618530273" hidden="0" customHeight="1">
      <x:c r="A36" s="363" t="str"/>
      <x:c r="B36" s="363" t="str"/>
      <x:c r="C36" s="363" t="str"/>
      <x:c r="D36" s="363" t="str"/>
      <x:c r="E36" s="363" t="str">
        <x:v>Env</x:v>
      </x:c>
      <x:c r="F36" s="363" t="str">
        <x:v>Pattern</x:v>
      </x:c>
      <x:c r="G36" s="363" t="str">
        <x:v>Sens</x:v>
      </x:c>
      <x:c r="H36" s="363" t="str">
        <x:v>Nbr flux</x:v>
      </x:c>
      <x:c r="I36" s="363" t="str">
        <x:v>Nbr flux</x:v>
      </x:c>
      <x:c r="J36" s="363" t="str">
        <x:v>Id de flux</x:v>
      </x:c>
      <x:c r="K36" s="363" t="str">
        <x:v>Nbr flux</x:v>
      </x:c>
      <x:c r="L36" s="363" t="str">
        <x:v>Id de flux</x:v>
      </x:c>
      <x:c r="M36" s="363" t="str"/>
      <x:c r="N36" s="363" t="str">
        <x:v>Env</x:v>
      </x:c>
      <x:c r="O36" s="363" t="str">
        <x:v>Pattern</x:v>
      </x:c>
      <x:c r="P36" s="363" t="str">
        <x:v>Sens</x:v>
      </x:c>
      <x:c r="Q36" s="363" t="str">
        <x:v>Nbr flux</x:v>
      </x:c>
      <x:c r="R36" s="363" t="str">
        <x:v>Nbr flux</x:v>
      </x:c>
      <x:c r="S36" s="363" t="str">
        <x:v>Id de flux</x:v>
      </x:c>
      <x:c r="T36" s="363" t="str">
        <x:v>Nbr flux</x:v>
      </x:c>
      <x:c r="U36" s="363" t="str">
        <x:v>Id de flux</x:v>
      </x:c>
      <x:c r="V36" s="363" t="str"/>
      <x:c r="W36" s="363" t="str"/>
      <x:c r="X36" s="363" t="str"/>
      <x:c r="Y36" s="363" t="str"/>
      <x:c r="Z36" s="363" t="str"/>
      <x:c r="AA36" s="363" t="str"/>
      <x:c r="AB36" s="363" t="str"/>
      <x:c r="AC36"/>
      <x:c r="AD36"/>
      <x:c r="AE36"/>
      <x:c r="AF36"/>
      <x:c r="AG36"/>
    </x:row>
    <x:row r="37" ht="14.399999618530273" hidden="0" customHeight="1">
      <x:c r="A37" s="363" t="str"/>
      <x:c r="B37" s="363" t="str"/>
      <x:c r="C37" s="363" t="str"/>
      <x:c r="D37" s="363" t="str"/>
      <x:c r="E37" s="363" t="str">
        <x:v>SIT</x:v>
      </x:c>
      <x:c r="F37" s="363" t="str">
        <x:v>API to API</x:v>
      </x:c>
      <x:c r="G37" s="363" t="str">
        <x:v>BNPP-&gt;Estreem</x:v>
      </x:c>
      <x:c r="H37" s="363" t="str">
        <x:v>1</x:v>
      </x:c>
      <x:c r="I37" s="363" t="str">
        <x:v>1</x:v>
      </x:c>
      <x:c r="J37" s="363" t="str">
        <x:v>MM4-1 v1.5(BCEF)</x:v>
      </x:c>
      <x:c r="K37" s="363" t="str">
        <x:v>0</x:v>
      </x:c>
      <x:c r="L37" s="363" t="str"/>
      <x:c r="M37" s="363" t="str"/>
      <x:c r="N37" s="363" t="str">
        <x:v>SIT</x:v>
      </x:c>
      <x:c r="O37" s="363" t="str">
        <x:v>API to API</x:v>
      </x:c>
      <x:c r="P37" s="363" t="str">
        <x:v>BNPP-&gt;Estreem</x:v>
      </x:c>
      <x:c r="Q37" s="363" t="str">
        <x:v>0</x:v>
      </x:c>
      <x:c r="R37" s="363" t="str">
        <x:v>0</x:v>
      </x:c>
      <x:c r="S37" s="363" t="str"/>
      <x:c r="T37" s="363" t="str">
        <x:v>0</x:v>
      </x:c>
      <x:c r="U37" s="363" t="str"/>
      <x:c r="V37" s="363" t="str"/>
      <x:c r="W37" s="363" t="str"/>
      <x:c r="X37" s="363" t="str"/>
      <x:c r="Y37" s="363" t="str"/>
      <x:c r="Z37" s="363" t="str"/>
      <x:c r="AA37" s="363" t="str"/>
      <x:c r="AB37" s="363" t="str"/>
      <x:c r="AC37"/>
      <x:c r="AD37"/>
      <x:c r="AE37"/>
      <x:c r="AF37"/>
      <x:c r="AG37"/>
    </x:row>
    <x:row r="38" ht="14.399999618530273" hidden="0" customHeight="1">
      <x:c r="A38" s="363" t="str"/>
      <x:c r="B38" s="363" t="str"/>
      <x:c r="C38" s="363" t="str"/>
      <x:c r="D38" s="363" t="str"/>
      <x:c r="E38" s="363" t="str"/>
      <x:c r="F38" s="363" t="str"/>
      <x:c r="G38" s="363" t="str">
        <x:v>Estreem-&gt;BNPP</x:v>
      </x:c>
      <x:c r="H38" s="363" t="str">
        <x:v>0</x:v>
      </x:c>
      <x:c r="I38" s="363" t="str">
        <x:v>0</x:v>
      </x:c>
      <x:c r="J38" s="363" t="str"/>
      <x:c r="K38" s="363" t="str">
        <x:v>0</x:v>
      </x:c>
      <x:c r="L38" s="363" t="str"/>
      <x:c r="M38" s="363" t="str"/>
      <x:c r="N38" s="363" t="str"/>
      <x:c r="O38" s="363" t="str"/>
      <x:c r="P38" s="363" t="str">
        <x:v>Estreem-&gt;BNPP</x:v>
      </x:c>
      <x:c r="Q38" s="363" t="str">
        <x:v>0</x:v>
      </x:c>
      <x:c r="R38" s="363" t="str">
        <x:v>0</x:v>
      </x:c>
      <x:c r="S38" s="363" t="str">
        <x:v>CMS4_001  v2.9</x:v>
      </x:c>
      <x:c r="T38" s="363" t="str">
        <x:v>0</x:v>
      </x:c>
      <x:c r="U38" s="363" t="str"/>
      <x:c r="V38" s="363" t="str"/>
      <x:c r="W38" s="363" t="str"/>
      <x:c r="X38" s="363" t="str"/>
      <x:c r="Y38" s="363" t="str"/>
      <x:c r="Z38" s="363" t="str"/>
      <x:c r="AA38" s="363" t="str"/>
      <x:c r="AB38" s="363" t="str"/>
      <x:c r="AC38"/>
      <x:c r="AD38"/>
      <x:c r="AE38"/>
      <x:c r="AF38"/>
      <x:c r="AG38"/>
    </x:row>
    <x:row r="39" ht="14.399999618530273" hidden="0" customHeight="1">
      <x:c r="A39" s="363" t="str"/>
      <x:c r="B39" s="363" t="str"/>
      <x:c r="C39" s="363" t="str"/>
      <x:c r="D39" s="363" t="str"/>
      <x:c r="E39" s="363" t="str"/>
      <x:c r="F39" s="363" t="str">
        <x:v>API to Event</x:v>
      </x:c>
      <x:c r="G39" s="363" t="str">
        <x:v>BNPP-&gt;Estreem</x:v>
      </x:c>
      <x:c r="H39" s="363" t="str">
        <x:v>N/A</x:v>
      </x:c>
      <x:c r="I39" s="363" t="str">
        <x:v>N/A</x:v>
      </x:c>
      <x:c r="J39" s="363" t="str">
        <x:v>N/A</x:v>
      </x:c>
      <x:c r="K39" s="363" t="str">
        <x:v>N/A</x:v>
      </x:c>
      <x:c r="L39" s="363" t="str">
        <x:v>N/A</x:v>
      </x:c>
      <x:c r="M39" s="363" t="str"/>
      <x:c r="N39" s="363" t="str"/>
      <x:c r="O39" s="363" t="str">
        <x:v>API to Event</x:v>
      </x:c>
      <x:c r="P39" s="363" t="str">
        <x:v>BNPP-&gt;Estreem</x:v>
      </x:c>
      <x:c r="Q39" s="363" t="str">
        <x:v>N/A</x:v>
      </x:c>
      <x:c r="R39" s="363" t="str">
        <x:v>N/A</x:v>
      </x:c>
      <x:c r="S39" s="363" t="str">
        <x:v>N/A</x:v>
      </x:c>
      <x:c r="T39" s="363" t="str">
        <x:v>N/A</x:v>
      </x:c>
      <x:c r="U39" s="363" t="str">
        <x:v>N/A</x:v>
      </x:c>
      <x:c r="V39" s="363" t="str"/>
      <x:c r="W39" s="363" t="str"/>
      <x:c r="X39" s="363" t="str"/>
      <x:c r="Y39" s="363" t="str"/>
      <x:c r="Z39" s="363" t="str"/>
      <x:c r="AA39" s="363" t="str"/>
      <x:c r="AB39" s="363" t="str"/>
      <x:c r="AC39"/>
      <x:c r="AD39"/>
      <x:c r="AE39"/>
      <x:c r="AF39"/>
      <x:c r="AG39"/>
    </x:row>
    <x:row r="40" ht="43.20000076293945" hidden="0" customHeight="1">
      <x:c r="A40" s="363" t="str"/>
      <x:c r="B40" s="363" t="str"/>
      <x:c r="C40" s="363" t="str"/>
      <x:c r="D40" s="363" t="str"/>
      <x:c r="E40" s="363" t="str"/>
      <x:c r="F40" s="363" t="str"/>
      <x:c r="G40" s="363" t="str">
        <x:v>Estreem-&gt;BNPP</x:v>
      </x:c>
      <x:c r="H40" s="363" t="str">
        <x:v>3</x:v>
      </x:c>
      <x:c r="I40" s="363" t="str">
        <x:v>2</x:v>
      </x:c>
      <x:c r="J40" s="363" t="str">
        <x:v>OA5-2 v1.14 (BCEF)MM5-1  v1.5(BCEF)</x:v>
      </x:c>
      <x:c r="K40" s="363" t="str">
        <x:v>5</x:v>
      </x:c>
      <x:c r="L40" s="363" t="str">
        <x:v>OA5-2 v1.14 (Data scole)</x:v>
      </x:c>
      <x:c r="M40" s="363" t="str"/>
      <x:c r="N40" s="363" t="str"/>
      <x:c r="O40" s="363" t="str"/>
      <x:c r="P40" s="363" t="str">
        <x:v>Estreem-&gt;BNPP</x:v>
      </x:c>
      <x:c r="Q40" s="363" t="str">
        <x:v>6</x:v>
      </x:c>
      <x:c r="R40" s="363" t="str">
        <x:v>6</x:v>
      </x:c>
      <x:c r="S40" s="363" t="str">
        <x:v>CNT-EM6v1.7
CNT-EM9v1.7
CNT-EM15v1.7
CNT-EM18v1.7OA3_002 v1.3.0</x:v>
      </x:c>
      <x:c r="T40" s="363" t="str">
        <x:v>0</x:v>
      </x:c>
      <x:c r="U40" s="363" t="str"/>
      <x:c r="V40" s="363" t="str"/>
      <x:c r="W40" s="363" t="str"/>
      <x:c r="X40" s="363" t="str"/>
      <x:c r="Y40" s="363" t="str"/>
      <x:c r="Z40" s="363" t="str"/>
      <x:c r="AA40" s="363" t="str"/>
      <x:c r="AB40" s="363" t="str"/>
      <x:c r="AC40"/>
      <x:c r="AD40"/>
      <x:c r="AE40"/>
      <x:c r="AF40"/>
      <x:c r="AG40"/>
    </x:row>
    <x:row r="41" ht="14.399999618530273" hidden="0" customHeight="1">
      <x:c r="A41" s="363" t="str"/>
      <x:c r="B41" s="363" t="str"/>
      <x:c r="C41" s="363" t="str"/>
      <x:c r="D41" s="363" t="str"/>
      <x:c r="E41" s="363" t="str"/>
      <x:c r="F41" s="363" t="str">
        <x:v>File to File</x:v>
      </x:c>
      <x:c r="G41" s="363" t="str">
        <x:v>BNPP-&gt;Estreem</x:v>
      </x:c>
      <x:c r="H41" s="363" t="str">
        <x:v>0</x:v>
      </x:c>
      <x:c r="I41" s="363" t="str">
        <x:v>0</x:v>
      </x:c>
      <x:c r="J41" s="363" t="str"/>
      <x:c r="K41" s="363" t="str">
        <x:v>0</x:v>
      </x:c>
      <x:c r="L41" s="363" t="str"/>
      <x:c r="M41" s="363" t="str"/>
      <x:c r="N41" s="363" t="str"/>
      <x:c r="O41" s="363" t="str">
        <x:v>File to File</x:v>
      </x:c>
      <x:c r="P41" s="363" t="str">
        <x:v>BNPP-&gt;Estreem</x:v>
      </x:c>
      <x:c r="Q41" s="363" t="str">
        <x:v>0</x:v>
      </x:c>
      <x:c r="R41" s="363" t="str">
        <x:v>0</x:v>
      </x:c>
      <x:c r="S41" s="363" t="str"/>
      <x:c r="T41" s="363" t="str">
        <x:v>0</x:v>
      </x:c>
      <x:c r="U41" s="363" t="str"/>
      <x:c r="V41" s="363" t="str"/>
      <x:c r="W41" s="363" t="str"/>
      <x:c r="X41" s="363" t="str"/>
      <x:c r="Y41" s="363" t="str"/>
      <x:c r="Z41" s="363" t="str"/>
      <x:c r="AA41" s="363" t="str"/>
      <x:c r="AB41" s="363" t="str"/>
      <x:c r="AC41"/>
      <x:c r="AD41"/>
      <x:c r="AE41"/>
      <x:c r="AF41"/>
      <x:c r="AG41"/>
    </x:row>
    <x:row r="42" ht="14.399999618530273" hidden="0" customHeight="1">
      <x:c r="A42" s="363" t="str"/>
      <x:c r="B42" s="363" t="str"/>
      <x:c r="C42" s="363" t="str"/>
      <x:c r="D42" s="363" t="str"/>
      <x:c r="E42" s="363" t="str"/>
      <x:c r="F42" s="363" t="str"/>
      <x:c r="G42" s="363" t="str">
        <x:v>Estreem-&gt;BNPP</x:v>
      </x:c>
      <x:c r="H42" s="363" t="str">
        <x:v>0</x:v>
      </x:c>
      <x:c r="I42" s="363" t="str">
        <x:v>0</x:v>
      </x:c>
      <x:c r="J42" s="363" t="str"/>
      <x:c r="K42" s="363" t="str">
        <x:v>0</x:v>
      </x:c>
      <x:c r="L42" s="363" t="str"/>
      <x:c r="M42" s="363" t="str"/>
      <x:c r="N42" s="363" t="str"/>
      <x:c r="O42" s="363" t="str"/>
      <x:c r="P42" s="363" t="str">
        <x:v>Estreem-&gt;BNPP</x:v>
      </x:c>
      <x:c r="Q42" s="363" t="str">
        <x:v>0</x:v>
      </x:c>
      <x:c r="R42" s="363" t="str">
        <x:v>0</x:v>
      </x:c>
      <x:c r="S42" s="363" t="str"/>
      <x:c r="T42" s="363" t="str">
        <x:v>0</x:v>
      </x:c>
      <x:c r="U42" s="363" t="str"/>
      <x:c r="V42" s="363" t="str"/>
      <x:c r="W42" s="363" t="str"/>
      <x:c r="X42" s="363" t="str"/>
      <x:c r="Y42" s="363" t="str"/>
      <x:c r="Z42" s="363" t="str"/>
      <x:c r="AA42" s="363" t="str"/>
      <x:c r="AB42" s="363" t="str"/>
      <x:c r="AC42"/>
      <x:c r="AD42"/>
      <x:c r="AE42"/>
      <x:c r="AF42"/>
      <x:c r="AG42"/>
    </x:row>
    <x:row r="43" ht="14.399999618530273" hidden="0" customHeight="1">
      <x:c r="A43" s="363" t="str"/>
      <x:c r="B43" s="363" t="str"/>
      <x:c r="C43" s="363" t="str"/>
      <x:c r="D43" s="363" t="str"/>
      <x:c r="E43" s="363" t="str"/>
      <x:c r="F43" s="363" t="str">
        <x:v>File to Event</x:v>
      </x:c>
      <x:c r="G43" s="363" t="str">
        <x:v>BNPP-&gt;Estreem</x:v>
      </x:c>
      <x:c r="H43" s="363" t="str">
        <x:v>N/A</x:v>
      </x:c>
      <x:c r="I43" s="363" t="str">
        <x:v>N/A</x:v>
      </x:c>
      <x:c r="J43" s="363" t="str">
        <x:v>N/A</x:v>
      </x:c>
      <x:c r="K43" s="363" t="str">
        <x:v>N/A</x:v>
      </x:c>
      <x:c r="L43" s="363" t="str">
        <x:v>N/A</x:v>
      </x:c>
      <x:c r="M43" s="363" t="str"/>
      <x:c r="N43" s="363" t="str"/>
      <x:c r="O43" s="363" t="str">
        <x:v>File to Event</x:v>
      </x:c>
      <x:c r="P43" s="363" t="str">
        <x:v>BNPP-&gt;Estreem</x:v>
      </x:c>
      <x:c r="Q43" s="363" t="str">
        <x:v>N/A</x:v>
      </x:c>
      <x:c r="R43" s="363" t="str">
        <x:v>N/A</x:v>
      </x:c>
      <x:c r="S43" s="363" t="str">
        <x:v>N/A</x:v>
      </x:c>
      <x:c r="T43" s="363" t="str">
        <x:v>N/A</x:v>
      </x:c>
      <x:c r="U43" s="363" t="str">
        <x:v>N/A</x:v>
      </x:c>
      <x:c r="V43" s="363" t="str"/>
      <x:c r="W43" s="363" t="str"/>
      <x:c r="X43" s="363" t="str"/>
      <x:c r="Y43" s="363" t="str"/>
      <x:c r="Z43" s="363" t="str"/>
      <x:c r="AA43" s="363" t="str"/>
      <x:c r="AB43" s="363" t="str"/>
      <x:c r="AC43"/>
      <x:c r="AD43"/>
      <x:c r="AE43"/>
      <x:c r="AF43"/>
      <x:c r="AG43"/>
    </x:row>
    <x:row r="44" ht="14.399999618530273" hidden="0" customHeight="1">
      <x:c r="A44" s="363" t="str"/>
      <x:c r="B44" s="363" t="str"/>
      <x:c r="C44" s="363" t="str"/>
      <x:c r="D44" s="363" t="str"/>
      <x:c r="E44" s="363" t="str"/>
      <x:c r="F44" s="363" t="str"/>
      <x:c r="G44" s="363" t="str">
        <x:v>Estreem-&gt;BNPP</x:v>
      </x:c>
      <x:c r="H44" s="363" t="str">
        <x:v>0</x:v>
      </x:c>
      <x:c r="I44" s="363" t="str">
        <x:v>0</x:v>
      </x:c>
      <x:c r="J44" s="363" t="str"/>
      <x:c r="K44" s="363" t="str">
        <x:v>0</x:v>
      </x:c>
      <x:c r="L44" s="363" t="str"/>
      <x:c r="M44" s="363" t="str"/>
      <x:c r="N44" s="363" t="str"/>
      <x:c r="O44" s="363" t="str"/>
      <x:c r="P44" s="363" t="str">
        <x:v>Estreem-&gt;BNPP</x:v>
      </x:c>
      <x:c r="Q44" s="363" t="str">
        <x:v>0</x:v>
      </x:c>
      <x:c r="R44" s="363" t="str">
        <x:v>0</x:v>
      </x:c>
      <x:c r="S44" s="363" t="str"/>
      <x:c r="T44" s="363" t="str">
        <x:v>0</x:v>
      </x:c>
      <x:c r="U44" s="363" t="str"/>
      <x:c r="V44" s="363" t="str"/>
      <x:c r="W44" s="363" t="str"/>
      <x:c r="X44" s="363" t="str"/>
      <x:c r="Y44" s="363" t="str"/>
      <x:c r="Z44" s="363" t="str"/>
      <x:c r="AA44" s="363" t="str"/>
      <x:c r="AB44" s="363" t="str"/>
      <x:c r="AC44"/>
      <x:c r="AD44"/>
      <x:c r="AE44"/>
      <x:c r="AF44"/>
      <x:c r="AG44"/>
    </x:row>
    <x:row r="45" ht="14.399999618530273" hidden="0" customHeight="1">
      <x:c r="A45" s="363" t="str"/>
      <x:c r="B45" s="363" t="str"/>
      <x:c r="C45" s="363" t="str"/>
      <x:c r="D45" s="363" t="str"/>
      <x:c r="E45" s="363" t="str"/>
      <x:c r="F45" s="363" t="str">
        <x:v>GED</x:v>
      </x:c>
      <x:c r="G45" s="363" t="str">
        <x:v>BNPP-&gt;Estreem</x:v>
      </x:c>
      <x:c r="H45" s="363" t="str">
        <x:v>0</x:v>
      </x:c>
      <x:c r="I45" s="363" t="str">
        <x:v>0</x:v>
      </x:c>
      <x:c r="J45" s="363" t="str"/>
      <x:c r="K45" s="363" t="str">
        <x:v>0</x:v>
      </x:c>
      <x:c r="L45" s="363" t="str"/>
      <x:c r="M45" s="363" t="str"/>
      <x:c r="N45" s="363" t="str"/>
      <x:c r="O45" s="363" t="str">
        <x:v>GED</x:v>
      </x:c>
      <x:c r="P45" s="363" t="str">
        <x:v>BNPP-&gt;Estreem</x:v>
      </x:c>
      <x:c r="Q45" s="363" t="str">
        <x:v>0</x:v>
      </x:c>
      <x:c r="R45" s="363" t="str">
        <x:v>0</x:v>
      </x:c>
      <x:c r="S45" s="363" t="str"/>
      <x:c r="T45" s="363" t="str">
        <x:v>0</x:v>
      </x:c>
      <x:c r="U45" s="363" t="str"/>
      <x:c r="V45" s="363" t="str"/>
      <x:c r="W45" s="363" t="str"/>
      <x:c r="X45" s="363" t="str"/>
      <x:c r="Y45" s="363" t="str"/>
      <x:c r="Z45" s="363" t="str"/>
      <x:c r="AA45" s="363" t="str"/>
      <x:c r="AB45" s="363" t="str"/>
      <x:c r="AC45"/>
      <x:c r="AD45"/>
      <x:c r="AE45"/>
      <x:c r="AF45"/>
      <x:c r="AG45"/>
    </x:row>
    <x:row r="46" ht="14.399999618530273" hidden="0" customHeight="1">
      <x:c r="A46" s="363" t="str"/>
      <x:c r="B46" s="363" t="str"/>
      <x:c r="C46" s="363" t="str"/>
      <x:c r="D46" s="363" t="str"/>
      <x:c r="E46" s="363" t="str"/>
      <x:c r="F46" s="363" t="str"/>
      <x:c r="G46" s="363" t="str">
        <x:v>Estreem-&gt;BNPP</x:v>
      </x:c>
      <x:c r="H46" s="363" t="str">
        <x:v>0</x:v>
      </x:c>
      <x:c r="I46" s="363" t="str">
        <x:v>0</x:v>
      </x:c>
      <x:c r="J46" s="363" t="str"/>
      <x:c r="K46" s="363" t="str">
        <x:v>0</x:v>
      </x:c>
      <x:c r="L46" s="363" t="str"/>
      <x:c r="M46" s="363" t="str"/>
      <x:c r="N46" s="363" t="str"/>
      <x:c r="O46" s="363" t="str"/>
      <x:c r="P46" s="363" t="str">
        <x:v>Estreem-&gt;BNPP</x:v>
      </x:c>
      <x:c r="Q46" s="363" t="str">
        <x:v>0</x:v>
      </x:c>
      <x:c r="R46" s="363" t="str">
        <x:v>0</x:v>
      </x:c>
      <x:c r="S46" s="363" t="str"/>
      <x:c r="T46" s="363" t="str">
        <x:v>0</x:v>
      </x:c>
      <x:c r="U46" s="363" t="str"/>
      <x:c r="V46" s="363" t="str"/>
      <x:c r="W46" s="363" t="str"/>
      <x:c r="X46" s="363" t="str"/>
      <x:c r="Y46" s="363" t="str"/>
      <x:c r="Z46" s="363" t="str"/>
      <x:c r="AA46" s="363" t="str"/>
      <x:c r="AB46" s="363" t="str"/>
      <x:c r="AC46"/>
      <x:c r="AD46"/>
      <x:c r="AE46"/>
      <x:c r="AF46"/>
      <x:c r="AG46"/>
    </x:row>
    <x:row r="47" ht="14.399999618530273" hidden="0" customHeight="1">
      <x:c r="A47" s="363" t="str"/>
      <x:c r="B47" s="363" t="str"/>
      <x:c r="C47" s="363" t="str"/>
      <x:c r="D47" s="363" t="str"/>
      <x:c r="E47" s="363" t="str">
        <x:v>UAT</x:v>
      </x:c>
      <x:c r="F47" s="363" t="str">
        <x:v>API to API</x:v>
      </x:c>
      <x:c r="G47" s="363" t="str">
        <x:v>BNPP-&gt;Estreem</x:v>
      </x:c>
      <x:c r="H47" s="363" t="str">
        <x:v>0</x:v>
      </x:c>
      <x:c r="I47" s="363" t="str">
        <x:v>0</x:v>
      </x:c>
      <x:c r="J47" s="363" t="str"/>
      <x:c r="K47" s="363" t="str">
        <x:v>0</x:v>
      </x:c>
      <x:c r="L47" s="363" t="str"/>
      <x:c r="M47" s="363" t="str"/>
      <x:c r="N47" s="363" t="str">
        <x:v>UAT</x:v>
      </x:c>
      <x:c r="O47" s="363" t="str">
        <x:v>API to API</x:v>
      </x:c>
      <x:c r="P47" s="363" t="str">
        <x:v>BNPP-&gt;Estreem</x:v>
      </x:c>
      <x:c r="Q47" s="363" t="str">
        <x:v>0</x:v>
      </x:c>
      <x:c r="R47" s="363" t="str">
        <x:v>0</x:v>
      </x:c>
      <x:c r="S47" s="363" t="str"/>
      <x:c r="T47" s="363" t="str">
        <x:v>0</x:v>
      </x:c>
      <x:c r="U47" s="363" t="str"/>
      <x:c r="V47" s="363" t="str"/>
      <x:c r="W47" s="363" t="str"/>
      <x:c r="X47" s="363" t="str"/>
      <x:c r="Y47" s="363" t="str"/>
      <x:c r="Z47" s="363" t="str"/>
      <x:c r="AA47" s="363" t="str"/>
      <x:c r="AB47" s="363" t="str"/>
      <x:c r="AC47"/>
      <x:c r="AD47"/>
      <x:c r="AE47"/>
      <x:c r="AF47"/>
      <x:c r="AG47"/>
    </x:row>
    <x:row r="48" ht="14.399999618530273" hidden="0" customHeight="1">
      <x:c r="A48" s="363" t="str"/>
      <x:c r="B48" s="363" t="str"/>
      <x:c r="C48" s="363" t="str"/>
      <x:c r="D48" s="363" t="str"/>
      <x:c r="E48" s="363" t="str"/>
      <x:c r="F48" s="363" t="str"/>
      <x:c r="G48" s="363" t="str">
        <x:v>Estreem-&gt;BNPP</x:v>
      </x:c>
      <x:c r="H48" s="363" t="str">
        <x:v>0</x:v>
      </x:c>
      <x:c r="I48" s="363" t="str">
        <x:v>0</x:v>
      </x:c>
      <x:c r="J48" s="363" t="str"/>
      <x:c r="K48" s="363" t="str">
        <x:v>0</x:v>
      </x:c>
      <x:c r="L48" s="363" t="str"/>
      <x:c r="M48" s="363" t="str"/>
      <x:c r="N48" s="363" t="str"/>
      <x:c r="O48" s="363" t="str"/>
      <x:c r="P48" s="363" t="str">
        <x:v>Estreem-&gt;BNPP</x:v>
      </x:c>
      <x:c r="Q48" s="363" t="str">
        <x:v>0</x:v>
      </x:c>
      <x:c r="R48" s="363" t="str">
        <x:v>0</x:v>
      </x:c>
      <x:c r="S48" s="363" t="str"/>
      <x:c r="T48" s="363" t="str">
        <x:v>0</x:v>
      </x:c>
      <x:c r="U48" s="363" t="str"/>
      <x:c r="V48" s="363" t="str"/>
      <x:c r="W48" s="363" t="str"/>
      <x:c r="X48" s="363" t="str"/>
      <x:c r="Y48" s="363" t="str"/>
      <x:c r="Z48" s="363" t="str"/>
      <x:c r="AA48" s="363" t="str"/>
      <x:c r="AB48" s="363" t="str"/>
      <x:c r="AC48"/>
      <x:c r="AD48"/>
      <x:c r="AE48"/>
      <x:c r="AF48"/>
      <x:c r="AG48"/>
    </x:row>
    <x:row r="49" ht="14.399999618530273" hidden="0" customHeight="1">
      <x:c r="A49" s="363" t="str"/>
      <x:c r="B49" s="363" t="str"/>
      <x:c r="C49" s="363" t="str"/>
      <x:c r="D49" s="363" t="str"/>
      <x:c r="E49" s="363" t="str"/>
      <x:c r="F49" s="363" t="str">
        <x:v>API to Event</x:v>
      </x:c>
      <x:c r="G49" s="363" t="str">
        <x:v>BNPP-&gt;Estreem</x:v>
      </x:c>
      <x:c r="H49" s="363" t="str">
        <x:v>N/A</x:v>
      </x:c>
      <x:c r="I49" s="363" t="str">
        <x:v>N/A</x:v>
      </x:c>
      <x:c r="J49" s="363" t="str">
        <x:v>N/A</x:v>
      </x:c>
      <x:c r="K49" s="363" t="str">
        <x:v>N/A</x:v>
      </x:c>
      <x:c r="L49" s="363" t="str">
        <x:v>N/A</x:v>
      </x:c>
      <x:c r="M49" s="363" t="str"/>
      <x:c r="N49" s="363" t="str"/>
      <x:c r="O49" s="363" t="str">
        <x:v>API to Event</x:v>
      </x:c>
      <x:c r="P49" s="363" t="str">
        <x:v>BNPP-&gt;Estreem</x:v>
      </x:c>
      <x:c r="Q49" s="363" t="str">
        <x:v>N/A</x:v>
      </x:c>
      <x:c r="R49" s="363" t="str">
        <x:v>N/A</x:v>
      </x:c>
      <x:c r="S49" s="363" t="str">
        <x:v>N/A</x:v>
      </x:c>
      <x:c r="T49" s="363" t="str">
        <x:v>N/A</x:v>
      </x:c>
      <x:c r="U49" s="363" t="str">
        <x:v>N/A</x:v>
      </x:c>
      <x:c r="V49" s="363" t="str"/>
      <x:c r="W49" s="363" t="str"/>
      <x:c r="X49" s="363" t="str"/>
      <x:c r="Y49" s="363" t="str"/>
      <x:c r="Z49" s="363" t="str"/>
      <x:c r="AA49" s="363" t="str"/>
      <x:c r="AB49" s="363" t="str"/>
      <x:c r="AC49"/>
      <x:c r="AD49"/>
      <x:c r="AE49"/>
      <x:c r="AF49"/>
      <x:c r="AG49"/>
    </x:row>
    <x:row r="50" ht="14.399999618530273" hidden="0" customHeight="1">
      <x:c r="A50" s="363" t="str"/>
      <x:c r="B50" s="363" t="str"/>
      <x:c r="C50" s="363" t="str"/>
      <x:c r="D50" s="363" t="str"/>
      <x:c r="E50" s="363" t="str"/>
      <x:c r="F50" s="363" t="str"/>
      <x:c r="G50" s="363" t="str">
        <x:v>Estreem-&gt;BNPP</x:v>
      </x:c>
      <x:c r="H50" s="363" t="str">
        <x:v>0</x:v>
      </x:c>
      <x:c r="I50" s="363" t="str">
        <x:v>0</x:v>
      </x:c>
      <x:c r="J50" s="363" t="str"/>
      <x:c r="K50" s="363" t="str">
        <x:v>0</x:v>
      </x:c>
      <x:c r="L50" s="363" t="str"/>
      <x:c r="M50" s="363" t="str"/>
      <x:c r="N50" s="363" t="str"/>
      <x:c r="O50" s="363" t="str"/>
      <x:c r="P50" s="363" t="str">
        <x:v>Estreem-&gt;BNPP</x:v>
      </x:c>
      <x:c r="Q50" s="363" t="str">
        <x:v>0</x:v>
      </x:c>
      <x:c r="R50" s="363" t="str">
        <x:v>0</x:v>
      </x:c>
      <x:c r="S50" s="363" t="str"/>
      <x:c r="T50" s="363" t="str">
        <x:v>0</x:v>
      </x:c>
      <x:c r="U50" s="363" t="str"/>
      <x:c r="V50" s="363" t="str"/>
      <x:c r="W50" s="363" t="str"/>
      <x:c r="X50" s="363" t="str"/>
      <x:c r="Y50" s="363" t="str"/>
      <x:c r="Z50" s="363" t="str"/>
      <x:c r="AA50" s="363" t="str"/>
      <x:c r="AB50" s="363" t="str"/>
      <x:c r="AC50"/>
      <x:c r="AD50"/>
      <x:c r="AE50"/>
      <x:c r="AF50"/>
      <x:c r="AG50"/>
    </x:row>
    <x:row r="51" ht="14.399999618530273" hidden="0" customHeight="1">
      <x:c r="A51" s="363" t="str"/>
      <x:c r="B51" s="363" t="str"/>
      <x:c r="C51" s="363" t="str"/>
      <x:c r="D51" s="363" t="str"/>
      <x:c r="E51" s="363" t="str"/>
      <x:c r="F51" s="363" t="str">
        <x:v>File to File</x:v>
      </x:c>
      <x:c r="G51" s="363" t="str">
        <x:v>BNPP-&gt;Estreem</x:v>
      </x:c>
      <x:c r="H51" s="363" t="str">
        <x:v>0</x:v>
      </x:c>
      <x:c r="I51" s="363" t="str">
        <x:v>0</x:v>
      </x:c>
      <x:c r="J51" s="363" t="str"/>
      <x:c r="K51" s="363" t="str">
        <x:v>0</x:v>
      </x:c>
      <x:c r="L51" s="363" t="str"/>
      <x:c r="M51" s="363" t="str"/>
      <x:c r="N51" s="363" t="str"/>
      <x:c r="O51" s="363" t="str">
        <x:v>File to File</x:v>
      </x:c>
      <x:c r="P51" s="363" t="str">
        <x:v>BNPP-&gt;Estreem</x:v>
      </x:c>
      <x:c r="Q51" s="363" t="str">
        <x:v>0</x:v>
      </x:c>
      <x:c r="R51" s="363" t="str">
        <x:v>0</x:v>
      </x:c>
      <x:c r="S51" s="363" t="str"/>
      <x:c r="T51" s="363" t="str">
        <x:v>0</x:v>
      </x:c>
      <x:c r="U51" s="363" t="str"/>
      <x:c r="V51" s="363" t="str"/>
      <x:c r="W51" s="363" t="str"/>
      <x:c r="X51" s="363" t="str"/>
      <x:c r="Y51" s="363" t="str"/>
      <x:c r="Z51" s="363" t="str"/>
      <x:c r="AA51" s="363" t="str"/>
      <x:c r="AB51" s="363" t="str"/>
      <x:c r="AC51"/>
      <x:c r="AD51"/>
      <x:c r="AE51"/>
      <x:c r="AF51"/>
      <x:c r="AG51"/>
    </x:row>
    <x:row r="52" ht="14.399999618530273" hidden="0" customHeight="1">
      <x:c r="A52" s="363" t="str"/>
      <x:c r="B52" s="363" t="str"/>
      <x:c r="C52" s="363" t="str"/>
      <x:c r="D52" s="363" t="str"/>
      <x:c r="E52" s="363" t="str"/>
      <x:c r="F52" s="363" t="str"/>
      <x:c r="G52" s="363" t="str">
        <x:v>Estreem-&gt;BNPP</x:v>
      </x:c>
      <x:c r="H52" s="363" t="str">
        <x:v>0</x:v>
      </x:c>
      <x:c r="I52" s="363" t="str">
        <x:v>0</x:v>
      </x:c>
      <x:c r="J52" s="363" t="str"/>
      <x:c r="K52" s="363" t="str">
        <x:v>0</x:v>
      </x:c>
      <x:c r="L52" s="363" t="str"/>
      <x:c r="M52" s="363" t="str"/>
      <x:c r="N52" s="363" t="str"/>
      <x:c r="O52" s="363" t="str"/>
      <x:c r="P52" s="363" t="str">
        <x:v>Estreem-&gt;BNPP</x:v>
      </x:c>
      <x:c r="Q52" s="363" t="str">
        <x:v>0</x:v>
      </x:c>
      <x:c r="R52" s="363" t="str">
        <x:v>0</x:v>
      </x:c>
      <x:c r="S52" s="363" t="str"/>
      <x:c r="T52" s="363" t="str">
        <x:v>0</x:v>
      </x:c>
      <x:c r="U52" s="363" t="str"/>
      <x:c r="V52" s="363" t="str"/>
      <x:c r="W52" s="363" t="str"/>
      <x:c r="X52" s="363" t="str"/>
      <x:c r="Y52" s="363" t="str"/>
      <x:c r="Z52" s="363" t="str"/>
      <x:c r="AA52" s="363" t="str"/>
      <x:c r="AB52" s="363" t="str"/>
      <x:c r="AC52"/>
      <x:c r="AD52"/>
      <x:c r="AE52"/>
      <x:c r="AF52"/>
      <x:c r="AG52"/>
    </x:row>
    <x:row r="53" ht="14.399999618530273" hidden="0" customHeight="1">
      <x:c r="A53" s="363" t="str"/>
      <x:c r="B53" s="363" t="str"/>
      <x:c r="C53" s="363" t="str"/>
      <x:c r="D53" s="363" t="str"/>
      <x:c r="E53" s="363" t="str"/>
      <x:c r="F53" s="363" t="str">
        <x:v>File to Event</x:v>
      </x:c>
      <x:c r="G53" s="363" t="str">
        <x:v>BNPP-&gt;Estreem</x:v>
      </x:c>
      <x:c r="H53" s="363" t="str">
        <x:v>N/A</x:v>
      </x:c>
      <x:c r="I53" s="363" t="str">
        <x:v>N/A</x:v>
      </x:c>
      <x:c r="J53" s="363" t="str">
        <x:v>N/A</x:v>
      </x:c>
      <x:c r="K53" s="363" t="str">
        <x:v>N/A</x:v>
      </x:c>
      <x:c r="L53" s="363" t="str">
        <x:v>N/A</x:v>
      </x:c>
      <x:c r="M53" s="363" t="str"/>
      <x:c r="N53" s="363" t="str"/>
      <x:c r="O53" s="363" t="str">
        <x:v>File to Event</x:v>
      </x:c>
      <x:c r="P53" s="363" t="str">
        <x:v>BNPP-&gt;Estreem</x:v>
      </x:c>
      <x:c r="Q53" s="363" t="str">
        <x:v>N/A</x:v>
      </x:c>
      <x:c r="R53" s="363" t="str">
        <x:v>N/A</x:v>
      </x:c>
      <x:c r="S53" s="363" t="str">
        <x:v>N/A</x:v>
      </x:c>
      <x:c r="T53" s="363" t="str">
        <x:v>N/A</x:v>
      </x:c>
      <x:c r="U53" s="363" t="str">
        <x:v>N/A</x:v>
      </x:c>
      <x:c r="V53" s="363" t="str"/>
      <x:c r="W53" s="363" t="str"/>
      <x:c r="X53" s="363" t="str"/>
      <x:c r="Y53" s="363" t="str"/>
      <x:c r="Z53" s="363" t="str"/>
      <x:c r="AA53" s="363" t="str"/>
      <x:c r="AB53" s="363" t="str"/>
      <x:c r="AC53"/>
      <x:c r="AD53"/>
      <x:c r="AE53"/>
      <x:c r="AF53"/>
      <x:c r="AG53"/>
    </x:row>
    <x:row r="54" ht="14.399999618530273" hidden="0" customHeight="1">
      <x:c r="A54" s="363" t="str"/>
      <x:c r="B54" s="363" t="str"/>
      <x:c r="C54" s="363" t="str"/>
      <x:c r="D54" s="363" t="str"/>
      <x:c r="E54" s="363" t="str"/>
      <x:c r="F54" s="363" t="str"/>
      <x:c r="G54" s="363" t="str">
        <x:v>Estreem-&gt;BNPP</x:v>
      </x:c>
      <x:c r="H54" s="363" t="str">
        <x:v>0</x:v>
      </x:c>
      <x:c r="I54" s="363" t="str">
        <x:v>0</x:v>
      </x:c>
      <x:c r="J54" s="363" t="str"/>
      <x:c r="K54" s="363" t="str">
        <x:v>0</x:v>
      </x:c>
      <x:c r="L54" s="363" t="str"/>
      <x:c r="M54" s="363" t="str"/>
      <x:c r="N54" s="363" t="str"/>
      <x:c r="O54" s="363" t="str"/>
      <x:c r="P54" s="363" t="str">
        <x:v>Estreem-&gt;BNPP</x:v>
      </x:c>
      <x:c r="Q54" s="363" t="str">
        <x:v>0</x:v>
      </x:c>
      <x:c r="R54" s="363" t="str">
        <x:v>0</x:v>
      </x:c>
      <x:c r="S54" s="363" t="str"/>
      <x:c r="T54" s="363" t="str">
        <x:v>0</x:v>
      </x:c>
      <x:c r="U54" s="363" t="str"/>
      <x:c r="V54" s="363" t="str"/>
      <x:c r="W54" s="363" t="str"/>
      <x:c r="X54" s="363" t="str"/>
      <x:c r="Y54" s="363" t="str"/>
      <x:c r="Z54" s="363" t="str"/>
      <x:c r="AA54" s="363" t="str"/>
      <x:c r="AB54" s="363" t="str"/>
      <x:c r="AC54"/>
      <x:c r="AD54"/>
      <x:c r="AE54"/>
      <x:c r="AF54"/>
      <x:c r="AG54"/>
    </x:row>
    <x:row r="55" ht="14.399999618530273" hidden="0" customHeight="1">
      <x:c r="A55" s="363" t="str"/>
      <x:c r="B55" s="363" t="str"/>
      <x:c r="C55" s="363" t="str"/>
      <x:c r="D55" s="363" t="str"/>
      <x:c r="E55" s="363" t="str"/>
      <x:c r="F55" s="363" t="str">
        <x:v>GED</x:v>
      </x:c>
      <x:c r="G55" s="363" t="str">
        <x:v>BNPP-&gt;Estreem</x:v>
      </x:c>
      <x:c r="H55" s="363" t="str">
        <x:v>0</x:v>
      </x:c>
      <x:c r="I55" s="363" t="str">
        <x:v>0</x:v>
      </x:c>
      <x:c r="J55" s="363" t="str"/>
      <x:c r="K55" s="363" t="str">
        <x:v>0</x:v>
      </x:c>
      <x:c r="L55" s="363" t="str"/>
      <x:c r="M55" s="363" t="str"/>
      <x:c r="N55" s="363" t="str"/>
      <x:c r="O55" s="363" t="str">
        <x:v>GED</x:v>
      </x:c>
      <x:c r="P55" s="363" t="str">
        <x:v>BNPP-&gt;Estreem</x:v>
      </x:c>
      <x:c r="Q55" s="363" t="str">
        <x:v>0</x:v>
      </x:c>
      <x:c r="R55" s="363" t="str">
        <x:v>0</x:v>
      </x:c>
      <x:c r="S55" s="363" t="str"/>
      <x:c r="T55" s="363" t="str">
        <x:v>0</x:v>
      </x:c>
      <x:c r="U55" s="363" t="str"/>
      <x:c r="V55" s="363" t="str"/>
      <x:c r="W55" s="363" t="str"/>
      <x:c r="X55" s="363" t="str"/>
      <x:c r="Y55" s="363" t="str"/>
      <x:c r="Z55" s="363" t="str"/>
      <x:c r="AA55" s="363" t="str"/>
      <x:c r="AB55" s="363" t="str"/>
      <x:c r="AC55"/>
      <x:c r="AD55"/>
      <x:c r="AE55"/>
      <x:c r="AF55"/>
      <x:c r="AG55"/>
    </x:row>
    <x:row r="56" ht="14.399999618530273" hidden="0" customHeight="1">
      <x:c r="A56" s="363" t="str"/>
      <x:c r="B56" s="363" t="str"/>
      <x:c r="C56" s="363" t="str"/>
      <x:c r="D56" s="363" t="str"/>
      <x:c r="E56" s="363" t="str"/>
      <x:c r="F56" s="363" t="str"/>
      <x:c r="G56" s="363" t="str">
        <x:v>Estreem-&gt;BNPP</x:v>
      </x:c>
      <x:c r="H56" s="363" t="str">
        <x:v>0</x:v>
      </x:c>
      <x:c r="I56" s="363" t="str">
        <x:v>0</x:v>
      </x:c>
      <x:c r="J56" s="363" t="str"/>
      <x:c r="K56" s="363" t="str">
        <x:v>0</x:v>
      </x:c>
      <x:c r="L56" s="363" t="str"/>
      <x:c r="M56" s="363" t="str"/>
      <x:c r="N56" s="363" t="str"/>
      <x:c r="O56" s="363" t="str"/>
      <x:c r="P56" s="363" t="str">
        <x:v>Estreem-&gt;BNPP</x:v>
      </x:c>
      <x:c r="Q56" s="363" t="str">
        <x:v>0</x:v>
      </x:c>
      <x:c r="R56" s="363" t="str">
        <x:v>0</x:v>
      </x:c>
      <x:c r="S56" s="363" t="str"/>
      <x:c r="T56" s="363" t="str">
        <x:v>0</x:v>
      </x:c>
      <x:c r="U56" s="363" t="str"/>
      <x:c r="V56" s="363" t="str"/>
      <x:c r="W56" s="363" t="str"/>
      <x:c r="X56" s="363" t="str"/>
      <x:c r="Y56" s="363" t="str"/>
      <x:c r="Z56" s="363" t="str"/>
      <x:c r="AA56" s="363" t="str"/>
      <x:c r="AB56" s="363" t="str"/>
      <x:c r="AC56"/>
      <x:c r="AD56"/>
      <x:c r="AE56"/>
      <x:c r="AF56"/>
      <x:c r="AG56"/>
    </x:row>
    <x:row r="57" ht="66" hidden="0" customHeight="1">
      <x:c r="A57" s="368" t="str">
        <x:v>Phase 3 : Exécution des tests par les Utilisateurs</x:v>
      </x:c>
      <x:c r="B57" s="368" t="str"/>
      <x:c r="C57" s="368" t="str"/>
      <x:c r="D57" s="368" t="str"/>
      <x:c r="E57" s="368" t="str"/>
      <x:c r="F57" s="368" t="str"/>
      <x:c r="G57" s="368" t="str"/>
      <x:c r="H57" s="368" t="str"/>
      <x:c r="I57" s="368" t="str"/>
      <x:c r="J57" s="368" t="str"/>
      <x:c r="K57" s="368" t="str"/>
      <x:c r="L57" s="368" t="str"/>
      <x:c r="M57" s="368" t="str"/>
      <x:c r="N57" s="368" t="str"/>
      <x:c r="O57" s="368" t="str"/>
      <x:c r="P57" s="368" t="str"/>
      <x:c r="Q57" s="368" t="str"/>
      <x:c r="R57" s="368" t="str"/>
      <x:c r="S57" s="368" t="str"/>
      <x:c r="T57" s="368" t="str"/>
      <x:c r="U57" s="368" t="str"/>
      <x:c r="V57" s="368" t="str"/>
      <x:c r="W57" s="368" t="str"/>
      <x:c r="X57" s="368" t="str"/>
      <x:c r="Y57" s="368" t="str"/>
      <x:c r="Z57" s="368" t="str"/>
      <x:c r="AA57" s="368" t="str"/>
      <x:c r="AB57" s="368" t="str"/>
      <x:c r="AC57"/>
      <x:c r="AD57"/>
      <x:c r="AE57"/>
      <x:c r="AF57"/>
      <x:c r="AG57"/>
    </x:row>
    <x:row r="58" ht="14.399999618530273" hidden="0" customHeight="1">
      <x:c r="A58" s="371" t="str"/>
      <x:c r="B58" s="371" t="str">
        <x:v>ACQUISITION</x:v>
      </x:c>
      <x:c r="C58" s="371" t="str"/>
      <x:c r="D58" s="371" t="str"/>
      <x:c r="E58" s="371" t="str"/>
      <x:c r="F58" s="371" t="str"/>
      <x:c r="G58" s="371" t="str"/>
      <x:c r="H58" s="371" t="str"/>
      <x:c r="I58" s="371" t="str"/>
      <x:c r="J58" s="371" t="str"/>
      <x:c r="K58" s="371" t="str"/>
      <x:c r="L58" s="371" t="str"/>
      <x:c r="M58" s="371" t="str"/>
      <x:c r="N58" s="371" t="str">
        <x:v>EMISSION</x:v>
      </x:c>
      <x:c r="O58" s="371" t="str"/>
      <x:c r="P58" s="371" t="str"/>
      <x:c r="Q58" s="371" t="str"/>
      <x:c r="R58" s="371" t="str"/>
      <x:c r="S58" s="371" t="str"/>
      <x:c r="T58" s="371" t="str"/>
      <x:c r="U58" s="371" t="str"/>
      <x:c r="V58" s="371" t="str"/>
      <x:c r="W58" s="371" t="str"/>
      <x:c r="X58" s="371" t="str"/>
      <x:c r="Y58" s="371" t="str"/>
      <x:c r="Z58" s="371" t="str"/>
      <x:c r="AA58" s="371" t="str"/>
      <x:c r="AB58" s="371" t="str"/>
      <x:c r="AC58"/>
      <x:c r="AD58"/>
      <x:c r="AE58"/>
      <x:c r="AF58"/>
      <x:c r="AG58"/>
    </x:row>
    <x:row r="59" ht="14.399999618530273" hidden="0" customHeight="1">
      <x:c r="A59" s="373" t="str"/>
      <x:c r="B59" s="373" t="str">
        <x:v>TOTAUX</x:v>
      </x:c>
      <x:c r="C59" s="373" t="str"/>
      <x:c r="D59" s="373" t="str">
        <x:v>Total</x:v>
      </x:c>
      <x:c r="E59" s="373" t="str">
        <x:v>Rejeté</x:v>
      </x:c>
      <x:c r="F59" s="373" t="str"/>
      <x:c r="G59" s="373" t="str">
        <x:v>Corrigé</x:v>
      </x:c>
      <x:c r="H59" s="373" t="str"/>
      <x:c r="I59" s="373" t="str">
        <x:v>Validé</x:v>
      </x:c>
      <x:c r="J59" s="373" t="str"/>
      <x:c r="K59" s="373" t="str">
        <x:v>En cours</x:v>
      </x:c>
      <x:c r="L59" s="373" t="str"/>
      <x:c r="M59" s="373" t="str"/>
      <x:c r="N59" s="373" t="str">
        <x:v>TOTAUX</x:v>
      </x:c>
      <x:c r="O59" s="373" t="str"/>
      <x:c r="P59" s="373" t="str">
        <x:v>Total</x:v>
      </x:c>
      <x:c r="Q59" s="373" t="str">
        <x:v>Rejeté</x:v>
      </x:c>
      <x:c r="R59" s="373" t="str"/>
      <x:c r="S59" s="373" t="str">
        <x:v>Corrigé</x:v>
      </x:c>
      <x:c r="T59" s="373" t="str"/>
      <x:c r="U59" s="373" t="str">
        <x:v>Validé</x:v>
      </x:c>
      <x:c r="V59" s="373" t="str"/>
      <x:c r="W59" s="373" t="str">
        <x:v>En cours</x:v>
      </x:c>
      <x:c r="X59" s="373" t="str"/>
      <x:c r="Y59" s="373" t="str"/>
      <x:c r="Z59" s="373" t="str"/>
      <x:c r="AA59" s="373" t="str"/>
      <x:c r="AB59" s="373" t="str"/>
      <x:c r="AC59"/>
      <x:c r="AD59"/>
      <x:c r="AE59"/>
      <x:c r="AF59"/>
      <x:c r="AG59"/>
    </x:row>
    <x:row r="60" ht="14.399999618530273" hidden="0" customHeight="1">
      <x:c r="A60" s="363" t="str"/>
      <x:c r="B60" s="363" t="str">
        <x:v>Env</x:v>
      </x:c>
      <x:c r="C60" s="363" t="str">
        <x:v>Criticité</x:v>
      </x:c>
      <x:c r="D60" s="363" t="str">
        <x:v>Nbr d'ano</x:v>
      </x:c>
      <x:c r="E60" s="363" t="str">
        <x:v>Nbr d'ano</x:v>
      </x:c>
      <x:c r="F60" s="363" t="str">
        <x:v>id Octane / JIRA</x:v>
      </x:c>
      <x:c r="G60" s="363" t="str">
        <x:v>Nbr d'ano</x:v>
      </x:c>
      <x:c r="H60" s="363" t="str">
        <x:v>id Octane / JIRA</x:v>
      </x:c>
      <x:c r="I60" s="363" t="str">
        <x:v>Nbr d'ano</x:v>
      </x:c>
      <x:c r="J60" s="363" t="str">
        <x:v>id Octane / JIRA</x:v>
      </x:c>
      <x:c r="K60" s="363" t="str">
        <x:v>Nbr d'ano</x:v>
      </x:c>
      <x:c r="L60" s="363" t="str">
        <x:v>id Octane / JIRA</x:v>
      </x:c>
      <x:c r="M60" s="363" t="str"/>
      <x:c r="N60" s="363" t="str">
        <x:v>Env</x:v>
      </x:c>
      <x:c r="O60" s="363" t="str">
        <x:v>Criticité</x:v>
      </x:c>
      <x:c r="P60" s="363" t="str">
        <x:v>Nbr d'ano</x:v>
      </x:c>
      <x:c r="Q60" s="363" t="str">
        <x:v>Nbr d'ano</x:v>
      </x:c>
      <x:c r="R60" s="363" t="str">
        <x:v>id Octane / JIRA</x:v>
      </x:c>
      <x:c r="S60" s="363" t="str">
        <x:v>Nbr d'ano</x:v>
      </x:c>
      <x:c r="T60" s="363" t="str">
        <x:v>id Octane / JIRA</x:v>
      </x:c>
      <x:c r="U60" s="363" t="str">
        <x:v>Nbr d'ano</x:v>
      </x:c>
      <x:c r="V60" s="363" t="str">
        <x:v>id Octane / JIRA</x:v>
      </x:c>
      <x:c r="W60" s="363" t="str">
        <x:v>Nbr d'ano</x:v>
      </x:c>
      <x:c r="X60" s="363" t="str">
        <x:v>id Octane / JIRA</x:v>
      </x:c>
      <x:c r="Y60" s="363" t="str"/>
      <x:c r="Z60" s="363" t="str"/>
      <x:c r="AA60" s="363" t="str"/>
      <x:c r="AB60" s="363" t="str">
        <x:v>�</x:v>
      </x:c>
      <x:c r="AC60"/>
      <x:c r="AD60"/>
      <x:c r="AE60"/>
      <x:c r="AF60"/>
      <x:c r="AG60"/>
    </x:row>
    <x:row r="61" ht="86.4000015258789" hidden="0" customHeight="1">
      <x:c r="A61" s="363" t="str"/>
      <x:c r="B61" s="363" t="str">
        <x:v>SIT</x:v>
      </x:c>
      <x:c r="C61" s="363" t="str">
        <x:v>Critique</x:v>
      </x:c>
      <x:c r="D61" s="363" t="str">
        <x:v>2</x:v>
      </x:c>
      <x:c r="E61" s="363" t="str">
        <x:v>0</x:v>
      </x:c>
      <x:c r="F61" s="363" t="str"/>
      <x:c r="G61" s="363" t="str">
        <x:v>0</x:v>
      </x:c>
      <x:c r="H61" s="363" t="str"/>
      <x:c r="I61" s="363" t="str">
        <x:v>2</x:v>
      </x:c>
      <x:c r="J61" s="363" t="str">
        <x:v>796002 (id-flow)
800038("500 Gateway Timeout")</x:v>
      </x:c>
      <x:c r="K61" s="363" t="str">
        <x:v>0</x:v>
      </x:c>
      <x:c r="L61" s="363" t="str"/>
      <x:c r="M61" s="363" t="str"/>
      <x:c r="N61" s="363" t="str">
        <x:v>SIT</x:v>
      </x:c>
      <x:c r="O61" s="363" t="str">
        <x:v>Critique</x:v>
      </x:c>
      <x:c r="P61" s="363" t="str">
        <x:v>3</x:v>
      </x:c>
      <x:c r="Q61" s="363" t="str">
        <x:v>0</x:v>
      </x:c>
      <x:c r="R61" s="363" t="str"/>
      <x:c r="S61" s="363" t="str">
        <x:v>0</x:v>
      </x:c>
      <x:c r="T61" s="363" t="str"/>
      <x:c r="U61" s="363" t="str">
        <x:v>3</x:v>
      </x:c>
      <x:c r="V61" s="363" t="str">
        <x:v>844001(500 on card [holder.id](http://holder.id/) missing on OA3-2)796002 (id-flow)
800038("500 Gateway Timeout")</x:v>
      </x:c>
      <x:c r="W61" s="363" t="str">
        <x:v>0</x:v>
      </x:c>
      <x:c r="X61" s="363" t="str"/>
      <x:c r="Y61" s="363" t="str"/>
      <x:c r="Z61" s="363" t="str"/>
      <x:c r="AA61" s="363" t="str"/>
      <x:c r="AB61" s="363" t="str"/>
      <x:c r="AC61"/>
      <x:c r="AD61"/>
      <x:c r="AE61"/>
      <x:c r="AF61"/>
      <x:c r="AG61"/>
    </x:row>
    <x:row r="62" ht="86.4000015258789" hidden="0" customHeight="1">
      <x:c r="A62" s="363" t="str"/>
      <x:c r="B62" s="363" t="str"/>
      <x:c r="C62" s="363" t="str">
        <x:v>Majeur</x:v>
      </x:c>
      <x:c r="D62" s="363" t="str">
        <x:v>0</x:v>
      </x:c>
      <x:c r="E62" s="363" t="str">
        <x:v>0</x:v>
      </x:c>
      <x:c r="F62" s="363" t="str"/>
      <x:c r="G62" s="363" t="str">
        <x:v>0</x:v>
      </x:c>
      <x:c r="H62" s="363" t="str"/>
      <x:c r="I62" s="363" t="str">
        <x:v>0</x:v>
      </x:c>
      <x:c r="J62" s="363" t="str"/>
      <x:c r="K62" s="363" t="str">
        <x:v>0</x:v>
      </x:c>
      <x:c r="L62" s="363" t="str"/>
      <x:c r="M62" s="363" t="str"/>
      <x:c r="N62" s="363" t="str"/>
      <x:c r="O62" s="363" t="str">
        <x:v>Majeur</x:v>
      </x:c>
      <x:c r="P62" s="363" t="str">
        <x:v>3</x:v>
      </x:c>
      <x:c r="Q62" s="363" t="str">
        <x:v>0</x:v>
      </x:c>
      <x:c r="R62" s="363" t="str"/>
      <x:c r="S62" s="363" t="str">
        <x:v>0</x:v>
      </x:c>
      <x:c r="T62" s="363" t="str"/>
      <x:c r="U62" s="363" t="str">
        <x:v>3</x:v>
      </x:c>
      <x:c r="V62" s="363" t="str">
        <x:v>772018 (DateTime format)
803033 ( error to get the schema)
798044 : Erreur "unauthorized_request" CMS4_001 (Pas li� a GIL)</x:v>
      </x:c>
      <x:c r="W62" s="363" t="str">
        <x:v>0</x:v>
      </x:c>
      <x:c r="X62" s="363" t="str"/>
      <x:c r="Y62" s="363" t="str"/>
      <x:c r="Z62" s="363" t="str"/>
      <x:c r="AA62" s="363" t="str"/>
      <x:c r="AB62" s="363" t="str"/>
      <x:c r="AC62"/>
      <x:c r="AD62"/>
      <x:c r="AE62"/>
      <x:c r="AF62"/>
      <x:c r="AG62"/>
    </x:row>
    <x:row r="63" ht="14.399999618530273" hidden="0" customHeight="1">
      <x:c r="A63" s="363" t="str"/>
      <x:c r="B63" s="363" t="str"/>
      <x:c r="C63" s="363" t="str">
        <x:v>Mineur</x:v>
      </x:c>
      <x:c r="D63" s="363" t="str">
        <x:v>0</x:v>
      </x:c>
      <x:c r="E63" s="363" t="str">
        <x:v>0</x:v>
      </x:c>
      <x:c r="F63" s="363" t="str"/>
      <x:c r="G63" s="363" t="str">
        <x:v>0</x:v>
      </x:c>
      <x:c r="H63" s="363" t="str"/>
      <x:c r="I63" s="363" t="str">
        <x:v>0</x:v>
      </x:c>
      <x:c r="J63" s="363" t="str"/>
      <x:c r="K63" s="363" t="str">
        <x:v>0</x:v>
      </x:c>
      <x:c r="L63" s="363" t="str"/>
      <x:c r="M63" s="363" t="str"/>
      <x:c r="N63" s="363" t="str"/>
      <x:c r="O63" s="363" t="str">
        <x:v>Mineur</x:v>
      </x:c>
      <x:c r="P63" s="363" t="str">
        <x:v>0</x:v>
      </x:c>
      <x:c r="Q63" s="363" t="str">
        <x:v>0</x:v>
      </x:c>
      <x:c r="R63" s="363" t="str"/>
      <x:c r="S63" s="363" t="str">
        <x:v>0</x:v>
      </x:c>
      <x:c r="T63" s="363" t="str"/>
      <x:c r="U63" s="363" t="str">
        <x:v>0</x:v>
      </x:c>
      <x:c r="V63" s="363" t="str"/>
      <x:c r="W63" s="363" t="str">
        <x:v>0</x:v>
      </x:c>
      <x:c r="X63" s="363" t="str"/>
      <x:c r="Y63" s="363" t="str"/>
      <x:c r="Z63" s="363" t="str"/>
      <x:c r="AA63" s="363" t="str"/>
      <x:c r="AB63" s="363" t="str"/>
      <x:c r="AC63"/>
      <x:c r="AD63"/>
      <x:c r="AE63"/>
      <x:c r="AF63"/>
      <x:c r="AG63"/>
    </x:row>
    <x:row r="64" ht="14.399999618530273" hidden="0" customHeight="1">
      <x:c r="A64" s="363" t="str"/>
      <x:c r="B64" s="363" t="str">
        <x:v>UAT</x:v>
      </x:c>
      <x:c r="C64" s="363" t="str">
        <x:v>Critique</x:v>
      </x:c>
      <x:c r="D64" s="363" t="str">
        <x:v>0</x:v>
      </x:c>
      <x:c r="E64" s="363" t="str">
        <x:v>0</x:v>
      </x:c>
      <x:c r="F64" s="363" t="str"/>
      <x:c r="G64" s="363" t="str">
        <x:v>0</x:v>
      </x:c>
      <x:c r="H64" s="363" t="str"/>
      <x:c r="I64" s="363" t="str">
        <x:v>0</x:v>
      </x:c>
      <x:c r="J64" s="363" t="str"/>
      <x:c r="K64" s="363" t="str">
        <x:v>0</x:v>
      </x:c>
      <x:c r="L64" s="363" t="str"/>
      <x:c r="M64" s="363" t="str"/>
      <x:c r="N64" s="363" t="str">
        <x:v>UAT</x:v>
      </x:c>
      <x:c r="O64" s="363" t="str">
        <x:v>Critique</x:v>
      </x:c>
      <x:c r="P64" s="363" t="str">
        <x:v>0</x:v>
      </x:c>
      <x:c r="Q64" s="363" t="str">
        <x:v>0</x:v>
      </x:c>
      <x:c r="R64" s="363" t="str"/>
      <x:c r="S64" s="363" t="str">
        <x:v>0</x:v>
      </x:c>
      <x:c r="T64" s="363" t="str"/>
      <x:c r="U64" s="363" t="str">
        <x:v>0</x:v>
      </x:c>
      <x:c r="V64" s="363" t="str"/>
      <x:c r="W64" s="363" t="str">
        <x:v>0</x:v>
      </x:c>
      <x:c r="X64" s="363" t="str"/>
      <x:c r="Y64" s="363" t="str"/>
      <x:c r="Z64" s="363" t="str"/>
      <x:c r="AA64" s="363" t="str"/>
      <x:c r="AB64" s="363" t="str"/>
      <x:c r="AC64"/>
      <x:c r="AD64"/>
      <x:c r="AE64"/>
      <x:c r="AF64"/>
      <x:c r="AG64"/>
    </x:row>
    <x:row r="65" ht="14.399999618530273" hidden="0" customHeight="1">
      <x:c r="A65" s="363" t="str"/>
      <x:c r="B65" s="363" t="str"/>
      <x:c r="C65" s="363" t="str">
        <x:v>Majeur</x:v>
      </x:c>
      <x:c r="D65" s="363" t="str">
        <x:v>0</x:v>
      </x:c>
      <x:c r="E65" s="363" t="str">
        <x:v>0</x:v>
      </x:c>
      <x:c r="F65" s="363" t="str"/>
      <x:c r="G65" s="363" t="str">
        <x:v>0</x:v>
      </x:c>
      <x:c r="H65" s="363" t="str"/>
      <x:c r="I65" s="363" t="str">
        <x:v>0</x:v>
      </x:c>
      <x:c r="J65" s="363" t="str"/>
      <x:c r="K65" s="363" t="str">
        <x:v>0</x:v>
      </x:c>
      <x:c r="L65" s="363" t="str"/>
      <x:c r="M65" s="363" t="str"/>
      <x:c r="N65" s="363" t="str"/>
      <x:c r="O65" s="363" t="str">
        <x:v>Majeur</x:v>
      </x:c>
      <x:c r="P65" s="363" t="str">
        <x:v>0</x:v>
      </x:c>
      <x:c r="Q65" s="363" t="str">
        <x:v>0</x:v>
      </x:c>
      <x:c r="R65" s="363" t="str"/>
      <x:c r="S65" s="363" t="str">
        <x:v>0</x:v>
      </x:c>
      <x:c r="T65" s="363" t="str"/>
      <x:c r="U65" s="363" t="str">
        <x:v>0</x:v>
      </x:c>
      <x:c r="V65" s="363" t="str"/>
      <x:c r="W65" s="363" t="str">
        <x:v>0</x:v>
      </x:c>
      <x:c r="X65" s="363" t="str"/>
      <x:c r="Y65" s="363" t="str"/>
      <x:c r="Z65" s="363" t="str"/>
      <x:c r="AA65" s="363" t="str"/>
      <x:c r="AB65" s="363" t="str"/>
      <x:c r="AC65"/>
      <x:c r="AD65"/>
      <x:c r="AE65"/>
      <x:c r="AF65"/>
      <x:c r="AG65"/>
    </x:row>
    <x:row r="66" ht="14.399999618530273" hidden="0" customHeight="1">
      <x:c r="A66" s="363" t="str"/>
      <x:c r="B66" s="363" t="str"/>
      <x:c r="C66" s="363" t="str">
        <x:v>Mineur</x:v>
      </x:c>
      <x:c r="D66" s="363" t="str">
        <x:v>0</x:v>
      </x:c>
      <x:c r="E66" s="363" t="str">
        <x:v>0</x:v>
      </x:c>
      <x:c r="F66" s="363" t="str"/>
      <x:c r="G66" s="363" t="str">
        <x:v>0</x:v>
      </x:c>
      <x:c r="H66" s="363" t="str"/>
      <x:c r="I66" s="363" t="str">
        <x:v>0</x:v>
      </x:c>
      <x:c r="J66" s="363" t="str"/>
      <x:c r="K66" s="363" t="str">
        <x:v>0</x:v>
      </x:c>
      <x:c r="L66" s="363" t="str"/>
      <x:c r="M66" s="363" t="str"/>
      <x:c r="N66" s="363" t="str"/>
      <x:c r="O66" s="363" t="str">
        <x:v>Mineur</x:v>
      </x:c>
      <x:c r="P66" s="363" t="str">
        <x:v>0</x:v>
      </x:c>
      <x:c r="Q66" s="363" t="str">
        <x:v>0</x:v>
      </x:c>
      <x:c r="R66" s="363" t="str"/>
      <x:c r="S66" s="363" t="str">
        <x:v>0</x:v>
      </x:c>
      <x:c r="T66" s="363" t="str"/>
      <x:c r="U66" s="363" t="str">
        <x:v>0</x:v>
      </x:c>
      <x:c r="V66" s="363" t="str"/>
      <x:c r="W66" s="363" t="str">
        <x:v>0</x:v>
      </x:c>
      <x:c r="X66" s="363" t="str"/>
      <x:c r="Y66" s="363" t="str"/>
      <x:c r="Z66" s="363" t="str"/>
      <x:c r="AA66" s="363" t="str"/>
      <x:c r="AB66" s="363" t="str"/>
      <x:c r="AC66"/>
      <x:c r="AD66"/>
      <x:c r="AE66"/>
      <x:c r="AF66"/>
      <x:c r="AG66"/>
    </x:row>
    <x:row r="67" ht="14.399999618530273" hidden="0" customHeight="1">
      <x:c r="A67" s="363" t="str"/>
      <x:c r="B67" s="363" t="str"/>
      <x:c r="C67" s="363" t="str"/>
      <x:c r="D67" s="363" t="str"/>
      <x:c r="E67" s="363" t="str"/>
      <x:c r="F67" s="363" t="str"/>
      <x:c r="G67" s="363" t="str"/>
      <x:c r="H67" s="363" t="str"/>
      <x:c r="I67" s="363" t="str"/>
      <x:c r="J67" s="363" t="str"/>
      <x:c r="K67" s="363" t="str"/>
      <x:c r="L67" s="363" t="str"/>
      <x:c r="M67" s="363" t="str"/>
      <x:c r="N67" s="363" t="str"/>
      <x:c r="O67" s="363" t="str"/>
      <x:c r="P67" s="363" t="str"/>
      <x:c r="Q67" s="363" t="str"/>
      <x:c r="R67" s="363" t="str"/>
      <x:c r="S67" s="363" t="str"/>
      <x:c r="T67" s="363" t="str"/>
      <x:c r="U67" s="363" t="str"/>
      <x:c r="V67" s="363" t="str"/>
      <x:c r="W67" s="363" t="str"/>
      <x:c r="X67" s="363" t="str"/>
      <x:c r="Y67" s="363" t="str"/>
      <x:c r="Z67" s="363" t="str"/>
      <x:c r="AA67" s="363" t="str"/>
      <x:c r="AB67" s="363" t="str"/>
      <x:c r="AC67"/>
      <x:c r="AD67"/>
      <x:c r="AE67"/>
      <x:c r="AF67"/>
      <x:c r="AG67"/>
    </x:row>
    <x:row r="68" ht="14.399999618530273" hidden="0" customHeight="1">
      <x:c r="A68" s="363" t="str"/>
      <x:c r="B68" s="363" t="str"/>
      <x:c r="C68" s="363" t="str"/>
      <x:c r="D68" s="363" t="str"/>
      <x:c r="E68" s="363" t="str"/>
      <x:c r="F68" s="363" t="str"/>
      <x:c r="G68" s="363" t="str"/>
      <x:c r="H68" s="363" t="str"/>
      <x:c r="I68" s="363" t="str"/>
      <x:c r="J68" s="363" t="str"/>
      <x:c r="K68" s="363" t="str"/>
      <x:c r="L68" s="363" t="str"/>
      <x:c r="M68" s="363" t="str"/>
      <x:c r="N68" s="363" t="str"/>
      <x:c r="O68" s="363" t="str"/>
      <x:c r="P68" s="363" t="str"/>
      <x:c r="Q68" s="363" t="str"/>
      <x:c r="R68" s="363" t="str"/>
      <x:c r="S68" s="363" t="str"/>
      <x:c r="T68" s="363" t="str"/>
      <x:c r="U68" s="363" t="str"/>
      <x:c r="V68" s="363" t="str"/>
      <x:c r="W68" s="363" t="str"/>
      <x:c r="X68" s="363" t="str"/>
      <x:c r="Y68" s="363" t="str"/>
      <x:c r="Z68" s="363" t="str"/>
      <x:c r="AA68" s="363" t="str"/>
      <x:c r="AB68" s="363" t="str"/>
      <x:c r="AC68"/>
      <x:c r="AD68"/>
      <x:c r="AE68"/>
      <x:c r="AF68"/>
      <x:c r="AG68"/>
    </x:row>
    <x:row r="69" ht="158.39999389648438" hidden="0" customHeight="1">
      <x:c r="A69" s="374" t="str">
        <x:v>Données source du dashboard — modifier uniquement le tableau ci-dessous puis relancer Actualiser_Dashboard_GIL.cmd</x:v>
      </x:c>
      <x:c r="B69" s="374" t="str"/>
      <x:c r="C69" s="374" t="str"/>
      <x:c r="D69" s="374" t="str"/>
      <x:c r="E69" s="374" t="str"/>
      <x:c r="F69" s="374" t="str"/>
      <x:c r="G69" s="374" t="str"/>
      <x:c r="H69" s="374" t="str"/>
      <x:c r="I69" s="374" t="str"/>
      <x:c r="J69" s="374" t="str"/>
      <x:c r="K69" s="374" t="str"/>
      <x:c r="L69" s="374" t="str"/>
      <x:c r="M69" s="374" t="str"/>
      <x:c r="N69" s="374" t="str"/>
      <x:c r="O69" s="374" t="str"/>
      <x:c r="P69" s="374" t="str"/>
      <x:c r="Q69" s="374" t="str"/>
      <x:c r="R69" s="374" t="str"/>
      <x:c r="S69" s="374" t="str"/>
      <x:c r="T69" s="374" t="str"/>
      <x:c r="U69" s="374" t="str"/>
      <x:c r="V69" s="374" t="str"/>
      <x:c r="W69" s="374" t="str"/>
      <x:c r="X69" s="374" t="str"/>
      <x:c r="Y69" s="374" t="str"/>
      <x:c r="Z69" s="374" t="str"/>
      <x:c r="AA69" s="374" t="str"/>
      <x:c r="AB69" s="374" t="str"/>
      <x:c r="AC69"/>
      <x:c r="AD69"/>
      <x:c r="AE69"/>
      <x:c r="AF69"/>
      <x:c r="AG69"/>
    </x:row>
    <x:row r="70" ht="14.399999618530273" hidden="0" customHeight="1">
      <x:c r="A70" s="376" t="str">
        <x:v>Semaine</x:v>
      </x:c>
      <x:c r="B70" s="376" t="str">
        <x:v>Date_Rapport</x:v>
      </x:c>
      <x:c r="C70" s="376" t="str">
        <x:v>ID_Flux</x:v>
      </x:c>
      <x:c r="D70" s="376" t="str">
        <x:v>Domaine</x:v>
      </x:c>
      <x:c r="E70" s="376" t="str">
        <x:v>Sous_Domaine</x:v>
      </x:c>
      <x:c r="F70" s="376" t="str">
        <x:v>Environnement</x:v>
      </x:c>
      <x:c r="G70" s="376" t="str">
        <x:v>Type_Livraison</x:v>
      </x:c>
      <x:c r="H70" s="376" t="str">
        <x:v>Statut</x:v>
      </x:c>
      <x:c r="I70" s="376" t="str">
        <x:v>Version</x:v>
      </x:c>
      <x:c r="J70" s="376" t="str">
        <x:v>Nombre</x:v>
      </x:c>
      <x:c r="K70" s="376" t="str">
        <x:v>Commentaire</x:v>
      </x:c>
      <x:c r="L70" s="376" t="str">
        <x:v>Nature_Donnée</x:v>
      </x:c>
      <x:c r="M70" s="376" t="str">
        <x:v>Source</x:v>
      </x:c>
      <x:c r="N70" s="376" t="str">
        <x:v>Référence_Source</x:v>
      </x:c>
      <x:c r="O70" s="376" t="str">
        <x:v>Sprint</x:v>
      </x:c>
      <x:c r="P70" s="376" t="str">
        <x:v>Niveau_Semaine</x:v>
      </x:c>
      <x:c r="Q70" s="376" t="str">
        <x:v>État_Flux</x:v>
      </x:c>
      <x:c r="R70" s="376" t="str">
        <x:v>État_Anomalie</x:v>
      </x:c>
      <x:c r="S70" s="363" t="str"/>
      <x:c r="T70" s="363" t="str"/>
      <x:c r="U70" s="363" t="str"/>
      <x:c r="V70" s="363" t="str"/>
      <x:c r="W70" s="363" t="str"/>
      <x:c r="X70" s="363" t="str"/>
      <x:c r="Y70" s="363" t="str"/>
      <x:c r="Z70" s="363" t="str"/>
      <x:c r="AA70" s="363" t="str"/>
      <x:c r="AB70" s="363" t="str"/>
      <x:c r="AC70"/>
      <x:c r="AD70"/>
      <x:c r="AE70"/>
      <x:c r="AF70"/>
      <x:c r="AG70"/>
    </x:row>
    <x:row r="71" ht="21.600000381469727" hidden="0" customHeight="1">
      <x:c r="A71" s="377" t="str">
        <x:v>2026-W32</x:v>
      </x:c>
      <x:c r="B71" s="377" t="n">
        <x:v>46243</x:v>
      </x:c>
      <x:c r="C71" s="377" t="str">
        <x:v>MM4-1</x:v>
      </x:c>
      <x:c r="D71" s="377" t="str">
        <x:v>Acquisition</x:v>
      </x:c>
      <x:c r="E71" s="377" t="str">
        <x:v>Onboarding</x:v>
      </x:c>
      <x:c r="F71" s="377" t="str">
        <x:v>SIT</x:v>
      </x:c>
      <x:c r="G71" s="377" t="str">
        <x:v>Configuration</x:v>
      </x:c>
      <x:c r="H71" s="377" t="str">
        <x:v>Livré</x:v>
      </x:c>
      <x:c r="I71" s="377" t="str">
        <x:v>v1.5.0</x:v>
      </x:c>
      <x:c r="J71" s="377" t="n">
        <x:v>1</x:v>
      </x:c>
      <x:c r="K71" s="377"/>
      <x:c r="L71" s="377" t="str">
        <x:v>Réel</x:v>
      </x:c>
      <x:c r="M71" s="377" t="str">
        <x:v>fichier suivi.txt</x:v>
      </x:c>
      <x:c r="N71" s="377" t="str">
        <x:v>Reporting AVRO Acquisition SIT</x:v>
      </x:c>
      <x:c r="O71" s="377" t="str">
        <x:v>Sprint 21</x:v>
      </x:c>
      <x:c r="P71" s="377" t="str">
        <x:v>Semaine 2</x:v>
      </x:c>
      <x:c r="Q71" s="377" t="str">
        <x:v>Prêt</x:v>
      </x:c>
      <x:c r="R71" s="377" t="str">
        <x:v>OK</x:v>
      </x:c>
      <x:c r="S71" s="363" t="str"/>
      <x:c r="T71" s="363" t="str"/>
      <x:c r="U71" s="363" t="str"/>
      <x:c r="V71" s="363" t="str"/>
      <x:c r="W71" s="363" t="str"/>
      <x:c r="X71" s="363" t="str"/>
      <x:c r="Y71" s="363" t="str"/>
      <x:c r="Z71" s="363" t="str"/>
      <x:c r="AA71" s="363" t="str"/>
      <x:c r="AB71" s="363" t="str"/>
      <x:c r="AC71"/>
      <x:c r="AD71"/>
      <x:c r="AE71"/>
      <x:c r="AF71"/>
      <x:c r="AG71"/>
    </x:row>
    <x:row r="72" ht="32.400001525878906" hidden="0" customHeight="1">
      <x:c r="A72" s="377" t="str">
        <x:v>2026-W32</x:v>
      </x:c>
      <x:c r="B72" s="377" t="n">
        <x:v>46243</x:v>
      </x:c>
      <x:c r="C72" s="377" t="str">
        <x:v>MM5-1</x:v>
      </x:c>
      <x:c r="D72" s="377" t="str">
        <x:v>Acquisition</x:v>
      </x:c>
      <x:c r="E72" s="377" t="str">
        <x:v>Onboarding</x:v>
      </x:c>
      <x:c r="F72" s="377" t="str">
        <x:v>SIT</x:v>
      </x:c>
      <x:c r="G72" s="377" t="str">
        <x:v>AVRO</x:v>
      </x:c>
      <x:c r="H72" s="377" t="str">
        <x:v>Livré</x:v>
      </x:c>
      <x:c r="I72" s="377" t="str">
        <x:v>v0.1.1 / v1.5.1 / v1.5.0</x:v>
      </x:c>
      <x:c r="J72" s="377" t="n">
        <x:v>1</x:v>
      </x:c>
      <x:c r="K72" s="377" t="str">
        <x:v>Versions livrées consolidées sur une seule ligne</x:v>
      </x:c>
      <x:c r="L72" s="377" t="str">
        <x:v>Réel</x:v>
      </x:c>
      <x:c r="M72" s="377" t="str">
        <x:v>fichier suivi.txt</x:v>
      </x:c>
      <x:c r="N72" s="377" t="str">
        <x:v>Reporting AVRO Acquisition SIT</x:v>
      </x:c>
      <x:c r="O72" s="377" t="str">
        <x:v>Sprint 21</x:v>
      </x:c>
      <x:c r="P72" s="377" t="str">
        <x:v>Semaine 2</x:v>
      </x:c>
      <x:c r="Q72" s="377" t="str">
        <x:v>Prêt</x:v>
      </x:c>
      <x:c r="R72" s="377" t="str">
        <x:v>OK</x:v>
      </x:c>
      <x:c r="S72" s="363" t="str"/>
      <x:c r="T72" s="363" t="str"/>
      <x:c r="U72" s="363" t="str"/>
      <x:c r="V72" s="363" t="str"/>
      <x:c r="W72" s="363" t="str"/>
      <x:c r="X72" s="363" t="str"/>
      <x:c r="Y72" s="363" t="str"/>
      <x:c r="Z72" s="363" t="str"/>
      <x:c r="AA72" s="363" t="str"/>
      <x:c r="AB72" s="363" t="str"/>
      <x:c r="AC72"/>
      <x:c r="AD72"/>
      <x:c r="AE72"/>
      <x:c r="AF72"/>
      <x:c r="AG72"/>
    </x:row>
    <x:row r="73" ht="21.600000381469727" hidden="0" customHeight="1">
      <x:c r="A73" s="377" t="str">
        <x:v>2026-W32</x:v>
      </x:c>
      <x:c r="B73" s="377" t="n">
        <x:v>46243</x:v>
      </x:c>
      <x:c r="C73" s="377" t="str">
        <x:v>MM7</x:v>
      </x:c>
      <x:c r="D73" s="377" t="str">
        <x:v>Acquisition</x:v>
      </x:c>
      <x:c r="E73" s="377" t="str">
        <x:v>Onboarding</x:v>
      </x:c>
      <x:c r="F73" s="377" t="str">
        <x:v>SIT</x:v>
      </x:c>
      <x:c r="G73" s="377" t="str">
        <x:v>AVRO</x:v>
      </x:c>
      <x:c r="H73" s="377" t="str">
        <x:v>En cours</x:v>
      </x:c>
      <x:c r="I73" s="377" t="str">
        <x:v>v0.1.1 / v1.5.1 / v1.5</x:v>
      </x:c>
      <x:c r="J73" s="377" t="n">
        <x:v>1</x:v>
      </x:c>
      <x:c r="K73" s="377"/>
      <x:c r="L73" s="377" t="str">
        <x:v>Réel</x:v>
      </x:c>
      <x:c r="M73" s="377" t="str">
        <x:v>fichier suivi.txt</x:v>
      </x:c>
      <x:c r="N73" s="377" t="str">
        <x:v>Reporting AVRO Acquisition SIT</x:v>
      </x:c>
      <x:c r="O73" s="377" t="str">
        <x:v>Sprint 21</x:v>
      </x:c>
      <x:c r="P73" s="377" t="str">
        <x:v>Semaine 2</x:v>
      </x:c>
      <x:c r="Q73" s="377" t="str">
        <x:v>En cours</x:v>
      </x:c>
      <x:c r="R73" s="377" t="str">
        <x:v>En cours</x:v>
      </x:c>
      <x:c r="S73" s="363" t="str"/>
      <x:c r="T73" s="363" t="str"/>
      <x:c r="U73" s="363" t="str"/>
      <x:c r="V73" s="363" t="str"/>
      <x:c r="W73" s="363" t="str"/>
      <x:c r="X73" s="363" t="str"/>
      <x:c r="Y73" s="363" t="str"/>
      <x:c r="Z73" s="363" t="str"/>
      <x:c r="AA73" s="363" t="str"/>
      <x:c r="AB73" s="363" t="str"/>
      <x:c r="AC73"/>
      <x:c r="AD73"/>
      <x:c r="AE73"/>
      <x:c r="AF73"/>
      <x:c r="AG73"/>
    </x:row>
    <x:row r="74" ht="21.600000381469727" hidden="0" customHeight="1">
      <x:c r="A74" s="377" t="str">
        <x:v>2026-W32</x:v>
      </x:c>
      <x:c r="B74" s="377" t="n">
        <x:v>46243</x:v>
      </x:c>
      <x:c r="C74" s="377" t="str">
        <x:v>OA5-2</x:v>
      </x:c>
      <x:c r="D74" s="377" t="str">
        <x:v>Acquisition</x:v>
      </x:c>
      <x:c r="E74" s="377" t="str">
        <x:v>Authorize</x:v>
      </x:c>
      <x:c r="F74" s="377" t="str">
        <x:v>SIT</x:v>
      </x:c>
      <x:c r="G74" s="377" t="str">
        <x:v>AVRO</x:v>
      </x:c>
      <x:c r="H74" s="377" t="str">
        <x:v>Livré</x:v>
      </x:c>
      <x:c r="I74" s="377" t="str">
        <x:v>v1.14</x:v>
      </x:c>
      <x:c r="J74" s="377" t="n">
        <x:v>1</x:v>
      </x:c>
      <x:c r="K74" s="377"/>
      <x:c r="L74" s="377" t="str">
        <x:v>Réel</x:v>
      </x:c>
      <x:c r="M74" s="377" t="str">
        <x:v>fichier suivi.txt</x:v>
      </x:c>
      <x:c r="N74" s="377" t="str">
        <x:v>Reporting AVRO Acquisition SIT</x:v>
      </x:c>
      <x:c r="O74" s="377" t="str">
        <x:v>Sprint 21</x:v>
      </x:c>
      <x:c r="P74" s="377" t="str">
        <x:v>Semaine 2</x:v>
      </x:c>
      <x:c r="Q74" s="377" t="str">
        <x:v>Prêt</x:v>
      </x:c>
      <x:c r="R74" s="377" t="str">
        <x:v>OK</x:v>
      </x:c>
      <x:c r="S74" s="363" t="str"/>
      <x:c r="T74" s="363" t="str"/>
      <x:c r="U74" s="363" t="str"/>
      <x:c r="V74" s="363" t="str"/>
      <x:c r="W74" s="363" t="str"/>
      <x:c r="X74" s="363" t="str"/>
      <x:c r="Y74" s="363" t="str"/>
      <x:c r="Z74" s="363" t="str"/>
      <x:c r="AA74" s="363" t="str"/>
      <x:c r="AB74" s="363" t="str"/>
      <x:c r="AC74"/>
      <x:c r="AD74"/>
      <x:c r="AE74"/>
      <x:c r="AF74"/>
      <x:c r="AG74"/>
    </x:row>
    <x:row r="75" ht="21.600000381469727" hidden="0" customHeight="1">
      <x:c r="A75" s="377" t="str">
        <x:v>2026-W32</x:v>
      </x:c>
      <x:c r="B75" s="377" t="n">
        <x:v>46243</x:v>
      </x:c>
      <x:c r="C75" s="377" t="str">
        <x:v>PC06-2</x:v>
      </x:c>
      <x:c r="D75" s="377" t="str">
        <x:v>Acquisition</x:v>
      </x:c>
      <x:c r="E75" s="377" t="str">
        <x:v>Crédit commerçant</x:v>
      </x:c>
      <x:c r="F75" s="377" t="str">
        <x:v>SIT</x:v>
      </x:c>
      <x:c r="G75" s="377" t="str">
        <x:v>AVRO</x:v>
      </x:c>
      <x:c r="H75" s="377" t="str">
        <x:v>Livré</x:v>
      </x:c>
      <x:c r="I75" s="377" t="str">
        <x:v>v1.10.0</x:v>
      </x:c>
      <x:c r="J75" s="377" t="n">
        <x:v>1</x:v>
      </x:c>
      <x:c r="K75" s="377"/>
      <x:c r="L75" s="377" t="str">
        <x:v>Réel</x:v>
      </x:c>
      <x:c r="M75" s="377" t="str">
        <x:v>fichier suivi.txt</x:v>
      </x:c>
      <x:c r="N75" s="377" t="str">
        <x:v>Reporting AVRO Acquisition SIT</x:v>
      </x:c>
      <x:c r="O75" s="377" t="str">
        <x:v>Sprint 21</x:v>
      </x:c>
      <x:c r="P75" s="377" t="str">
        <x:v>Semaine 2</x:v>
      </x:c>
      <x:c r="Q75" s="377" t="str">
        <x:v>Prêt</x:v>
      </x:c>
      <x:c r="R75" s="377" t="str">
        <x:v>OK</x:v>
      </x:c>
      <x:c r="S75" s="363" t="str"/>
      <x:c r="T75" s="363" t="str"/>
      <x:c r="U75" s="363" t="str"/>
      <x:c r="V75" s="363" t="str"/>
      <x:c r="W75" s="363" t="str"/>
      <x:c r="X75" s="363" t="str"/>
      <x:c r="Y75" s="363" t="str"/>
      <x:c r="Z75" s="363" t="str"/>
      <x:c r="AA75" s="363" t="str"/>
      <x:c r="AB75" s="363" t="str"/>
      <x:c r="AC75"/>
      <x:c r="AD75"/>
      <x:c r="AE75"/>
      <x:c r="AF75"/>
      <x:c r="AG75"/>
    </x:row>
    <x:row r="76" ht="21.600000381469727" hidden="0" customHeight="1">
      <x:c r="A76" s="377" t="str">
        <x:v>2026-W32</x:v>
      </x:c>
      <x:c r="B76" s="377" t="n">
        <x:v>46243</x:v>
      </x:c>
      <x:c r="C76" s="377" t="str">
        <x:v>PC07</x:v>
      </x:c>
      <x:c r="D76" s="377" t="str">
        <x:v>Acquisition</x:v>
      </x:c>
      <x:c r="E76" s="377" t="str">
        <x:v>Crédit commerçant</x:v>
      </x:c>
      <x:c r="F76" s="377" t="str">
        <x:v>SIT</x:v>
      </x:c>
      <x:c r="G76" s="377" t="str">
        <x:v>AVRO</x:v>
      </x:c>
      <x:c r="H76" s="377" t="str">
        <x:v>Livré</x:v>
      </x:c>
      <x:c r="I76" s="377" t="str">
        <x:v>v1.10.0</x:v>
      </x:c>
      <x:c r="J76" s="377" t="n">
        <x:v>1</x:v>
      </x:c>
      <x:c r="K76" s="377"/>
      <x:c r="L76" s="377" t="str">
        <x:v>Réel</x:v>
      </x:c>
      <x:c r="M76" s="377" t="str">
        <x:v>fichier suivi.txt</x:v>
      </x:c>
      <x:c r="N76" s="377" t="str">
        <x:v>Reporting AVRO Acquisition SIT</x:v>
      </x:c>
      <x:c r="O76" s="377" t="str">
        <x:v>Sprint 21</x:v>
      </x:c>
      <x:c r="P76" s="377" t="str">
        <x:v>Semaine 2</x:v>
      </x:c>
      <x:c r="Q76" s="377" t="str">
        <x:v>Prêt</x:v>
      </x:c>
      <x:c r="R76" s="377" t="str">
        <x:v>OK</x:v>
      </x:c>
      <x:c r="S76" s="363" t="str"/>
      <x:c r="T76" s="363" t="str"/>
      <x:c r="U76" s="363" t="str"/>
      <x:c r="V76" s="363" t="str"/>
      <x:c r="W76" s="363" t="str"/>
      <x:c r="X76" s="363" t="str"/>
      <x:c r="Y76" s="363" t="str"/>
      <x:c r="Z76" s="363" t="str"/>
      <x:c r="AA76" s="363" t="str"/>
      <x:c r="AB76" s="363" t="str"/>
      <x:c r="AC76"/>
      <x:c r="AD76"/>
      <x:c r="AE76"/>
      <x:c r="AF76"/>
      <x:c r="AG76"/>
    </x:row>
    <x:row r="77" ht="21.600000381469727" hidden="0" customHeight="1">
      <x:c r="A77" s="377" t="str">
        <x:v>2026-W32</x:v>
      </x:c>
      <x:c r="B77" s="377" t="n">
        <x:v>46243</x:v>
      </x:c>
      <x:c r="C77" s="377" t="str">
        <x:v>CMS4_001</x:v>
      </x:c>
      <x:c r="D77" s="377" t="str">
        <x:v>Issuing</x:v>
      </x:c>
      <x:c r="E77" s="377" t="str">
        <x:v>Onboarding</x:v>
      </x:c>
      <x:c r="F77" s="377" t="str">
        <x:v>SIT</x:v>
      </x:c>
      <x:c r="G77" s="377" t="str">
        <x:v>Configuration</x:v>
      </x:c>
      <x:c r="H77" s="377" t="str">
        <x:v>Livré</x:v>
      </x:c>
      <x:c r="I77" s="377" t="str">
        <x:v>v2.9</x:v>
      </x:c>
      <x:c r="J77" s="377" t="n">
        <x:v>1</x:v>
      </x:c>
      <x:c r="K77" s="377"/>
      <x:c r="L77" s="377" t="str">
        <x:v>Réel</x:v>
      </x:c>
      <x:c r="M77" s="377" t="str">
        <x:v>fichier suivi.txt</x:v>
      </x:c>
      <x:c r="N77" s="377" t="str">
        <x:v>Reporting AVRO Issuing SIT</x:v>
      </x:c>
      <x:c r="O77" s="377" t="str">
        <x:v>Sprint 21</x:v>
      </x:c>
      <x:c r="P77" s="377" t="str">
        <x:v>Semaine 2</x:v>
      </x:c>
      <x:c r="Q77" s="377" t="str">
        <x:v>Prêt</x:v>
      </x:c>
      <x:c r="R77" s="377" t="str">
        <x:v>OK</x:v>
      </x:c>
      <x:c r="S77" s="363" t="str"/>
      <x:c r="T77" s="363" t="str"/>
      <x:c r="U77" s="363" t="str"/>
      <x:c r="V77" s="363" t="str"/>
      <x:c r="W77" s="363" t="str"/>
      <x:c r="X77" s="363" t="str"/>
      <x:c r="Y77" s="363" t="str"/>
      <x:c r="Z77" s="363" t="str"/>
      <x:c r="AA77" s="363" t="str"/>
      <x:c r="AB77" s="363" t="str"/>
      <x:c r="AC77"/>
      <x:c r="AD77"/>
      <x:c r="AE77"/>
      <x:c r="AF77"/>
      <x:c r="AG77"/>
    </x:row>
    <x:row r="78" ht="21.600000381469727" hidden="0" customHeight="1">
      <x:c r="A78" s="377" t="str">
        <x:v>2026-W32</x:v>
      </x:c>
      <x:c r="B78" s="377" t="n">
        <x:v>46243</x:v>
      </x:c>
      <x:c r="C78" s="377" t="str">
        <x:v>CMS14_001</x:v>
      </x:c>
      <x:c r="D78" s="377" t="str">
        <x:v>Issuing</x:v>
      </x:c>
      <x:c r="E78" s="377" t="str">
        <x:v>Onboarding</x:v>
      </x:c>
      <x:c r="F78" s="377" t="str">
        <x:v>SIT</x:v>
      </x:c>
      <x:c r="G78" s="377" t="str">
        <x:v>AVRO</x:v>
      </x:c>
      <x:c r="H78" s="377" t="str">
        <x:v>Livré</x:v>
      </x:c>
      <x:c r="I78" s="377" t="str">
        <x:v>v1.5</x:v>
      </x:c>
      <x:c r="J78" s="377" t="n">
        <x:v>1</x:v>
      </x:c>
      <x:c r="K78" s="377"/>
      <x:c r="L78" s="377" t="str">
        <x:v>Réel</x:v>
      </x:c>
      <x:c r="M78" s="377" t="str">
        <x:v>fichier suivi.txt</x:v>
      </x:c>
      <x:c r="N78" s="377" t="str">
        <x:v>Reporting AVRO Issuing SIT</x:v>
      </x:c>
      <x:c r="O78" s="377" t="str">
        <x:v>Sprint 21</x:v>
      </x:c>
      <x:c r="P78" s="377" t="str">
        <x:v>Semaine 2</x:v>
      </x:c>
      <x:c r="Q78" s="377" t="str">
        <x:v>Prêt</x:v>
      </x:c>
      <x:c r="R78" s="377" t="str">
        <x:v>OK</x:v>
      </x:c>
      <x:c r="S78" s="363" t="str"/>
      <x:c r="T78" s="363" t="str"/>
      <x:c r="U78" s="363" t="str"/>
      <x:c r="V78" s="363" t="str"/>
      <x:c r="W78" s="363" t="str"/>
      <x:c r="X78" s="363" t="str"/>
      <x:c r="Y78" s="363" t="str"/>
      <x:c r="Z78" s="363" t="str"/>
      <x:c r="AA78" s="363" t="str"/>
      <x:c r="AB78" s="363" t="str"/>
      <x:c r="AC78"/>
      <x:c r="AD78"/>
      <x:c r="AE78"/>
      <x:c r="AF78"/>
      <x:c r="AG78"/>
    </x:row>
    <x:row r="79" ht="21.600000381469727" hidden="0" customHeight="1">
      <x:c r="A79" s="377" t="str">
        <x:v>2026-W32</x:v>
      </x:c>
      <x:c r="B79" s="377" t="n">
        <x:v>46243</x:v>
      </x:c>
      <x:c r="C79" s="377" t="str">
        <x:v>CMS14_002</x:v>
      </x:c>
      <x:c r="D79" s="377" t="str">
        <x:v>Issuing</x:v>
      </x:c>
      <x:c r="E79" s="377" t="str">
        <x:v>Onboarding</x:v>
      </x:c>
      <x:c r="F79" s="377" t="str">
        <x:v>SIT</x:v>
      </x:c>
      <x:c r="G79" s="377" t="str">
        <x:v>AVRO</x:v>
      </x:c>
      <x:c r="H79" s="377" t="str">
        <x:v>Livré</x:v>
      </x:c>
      <x:c r="I79" s="377" t="str">
        <x:v>v1.5</x:v>
      </x:c>
      <x:c r="J79" s="377" t="n">
        <x:v>1</x:v>
      </x:c>
      <x:c r="K79" s="377"/>
      <x:c r="L79" s="377" t="str">
        <x:v>Réel</x:v>
      </x:c>
      <x:c r="M79" s="377" t="str">
        <x:v>fichier suivi.txt</x:v>
      </x:c>
      <x:c r="N79" s="377" t="str">
        <x:v>Reporting AVRO Issuing SIT</x:v>
      </x:c>
      <x:c r="O79" s="377" t="str">
        <x:v>Sprint 21</x:v>
      </x:c>
      <x:c r="P79" s="377" t="str">
        <x:v>Semaine 2</x:v>
      </x:c>
      <x:c r="Q79" s="377" t="str">
        <x:v>Prêt</x:v>
      </x:c>
      <x:c r="R79" s="377" t="str">
        <x:v>OK</x:v>
      </x:c>
      <x:c r="S79" s="363" t="str"/>
      <x:c r="T79" s="363" t="str"/>
      <x:c r="U79" s="363" t="str"/>
      <x:c r="V79" s="363" t="str"/>
      <x:c r="W79" s="363" t="str"/>
      <x:c r="X79" s="363" t="str"/>
      <x:c r="Y79" s="363" t="str"/>
      <x:c r="Z79" s="363" t="str"/>
      <x:c r="AA79" s="363" t="str"/>
      <x:c r="AB79" s="363" t="str"/>
      <x:c r="AC79"/>
      <x:c r="AD79"/>
      <x:c r="AE79"/>
      <x:c r="AF79"/>
      <x:c r="AG79"/>
    </x:row>
    <x:row r="80" ht="21.600000381469727" hidden="0" customHeight="1">
      <x:c r="A80" s="377" t="str">
        <x:v>2026-W32</x:v>
      </x:c>
      <x:c r="B80" s="377" t="n">
        <x:v>46243</x:v>
      </x:c>
      <x:c r="C80" s="377" t="str">
        <x:v>CMS20_001</x:v>
      </x:c>
      <x:c r="D80" s="377" t="str">
        <x:v>Issuing</x:v>
      </x:c>
      <x:c r="E80" s="377" t="str">
        <x:v>Onboarding</x:v>
      </x:c>
      <x:c r="F80" s="377" t="str">
        <x:v>SIT</x:v>
      </x:c>
      <x:c r="G80" s="377" t="str">
        <x:v>AVRO</x:v>
      </x:c>
      <x:c r="H80" s="377" t="str">
        <x:v>Livré</x:v>
      </x:c>
      <x:c r="I80" s="377" t="str">
        <x:v>v1.3.0</x:v>
      </x:c>
      <x:c r="J80" s="377" t="n">
        <x:v>1</x:v>
      </x:c>
      <x:c r="K80" s="377"/>
      <x:c r="L80" s="377" t="str">
        <x:v>Réel</x:v>
      </x:c>
      <x:c r="M80" s="377" t="str">
        <x:v>fichier suivi.txt</x:v>
      </x:c>
      <x:c r="N80" s="377" t="str">
        <x:v>Reporting AVRO Issuing SIT</x:v>
      </x:c>
      <x:c r="O80" s="377" t="str">
        <x:v>Sprint 21</x:v>
      </x:c>
      <x:c r="P80" s="377" t="str">
        <x:v>Semaine 2</x:v>
      </x:c>
      <x:c r="Q80" s="377" t="str">
        <x:v>Prêt</x:v>
      </x:c>
      <x:c r="R80" s="377" t="str">
        <x:v>OK</x:v>
      </x:c>
      <x:c r="S80" s="363" t="str"/>
      <x:c r="T80" s="363" t="str"/>
      <x:c r="U80" s="363" t="str"/>
      <x:c r="V80" s="363" t="str"/>
      <x:c r="W80" s="363" t="str"/>
      <x:c r="X80" s="363" t="str"/>
      <x:c r="Y80" s="363" t="str"/>
      <x:c r="Z80" s="363" t="str"/>
      <x:c r="AA80" s="363" t="str"/>
      <x:c r="AB80" s="363" t="str"/>
      <x:c r="AC80"/>
      <x:c r="AD80"/>
      <x:c r="AE80"/>
      <x:c r="AF80"/>
      <x:c r="AG80"/>
    </x:row>
    <x:row r="81" ht="21.600000381469727" hidden="0" customHeight="1">
      <x:c r="A81" s="377" t="str">
        <x:v>2026-W32</x:v>
      </x:c>
      <x:c r="B81" s="377" t="n">
        <x:v>46243</x:v>
      </x:c>
      <x:c r="C81" s="377" t="str">
        <x:v>CMS37_001</x:v>
      </x:c>
      <x:c r="D81" s="377" t="str">
        <x:v>Issuing</x:v>
      </x:c>
      <x:c r="E81" s="377" t="str">
        <x:v>Onboarding</x:v>
      </x:c>
      <x:c r="F81" s="377" t="str">
        <x:v>SIT</x:v>
      </x:c>
      <x:c r="G81" s="377" t="str">
        <x:v>AVRO</x:v>
      </x:c>
      <x:c r="H81" s="377" t="str">
        <x:v>Livré</x:v>
      </x:c>
      <x:c r="I81" s="377" t="str">
        <x:v>v1.3.0</x:v>
      </x:c>
      <x:c r="J81" s="377" t="n">
        <x:v>1</x:v>
      </x:c>
      <x:c r="K81" s="377"/>
      <x:c r="L81" s="377" t="str">
        <x:v>Réel</x:v>
      </x:c>
      <x:c r="M81" s="377" t="str">
        <x:v>fichier suivi.txt</x:v>
      </x:c>
      <x:c r="N81" s="377" t="str">
        <x:v>Reporting AVRO Issuing SIT</x:v>
      </x:c>
      <x:c r="O81" s="377" t="str">
        <x:v>Sprint 21</x:v>
      </x:c>
      <x:c r="P81" s="377" t="str">
        <x:v>Semaine 2</x:v>
      </x:c>
      <x:c r="Q81" s="377" t="str">
        <x:v>Prêt</x:v>
      </x:c>
      <x:c r="R81" s="377" t="str">
        <x:v>OK</x:v>
      </x:c>
      <x:c r="S81" s="363" t="str"/>
      <x:c r="T81" s="363" t="str"/>
      <x:c r="U81" s="363" t="str"/>
      <x:c r="V81" s="363" t="str"/>
      <x:c r="W81" s="363" t="str"/>
      <x:c r="X81" s="363" t="str"/>
      <x:c r="Y81" s="363" t="str"/>
      <x:c r="Z81" s="363" t="str"/>
      <x:c r="AA81" s="363" t="str"/>
      <x:c r="AB81" s="363" t="str"/>
      <x:c r="AC81"/>
      <x:c r="AD81"/>
      <x:c r="AE81"/>
      <x:c r="AF81"/>
      <x:c r="AG81"/>
    </x:row>
    <x:row r="82" ht="21.600000381469727" hidden="0" customHeight="1">
      <x:c r="A82" s="377" t="str">
        <x:v>2026-W32</x:v>
      </x:c>
      <x:c r="B82" s="377" t="n">
        <x:v>46243</x:v>
      </x:c>
      <x:c r="C82" s="377" t="str">
        <x:v>CMS22</x:v>
      </x:c>
      <x:c r="D82" s="377" t="str">
        <x:v>Issuing</x:v>
      </x:c>
      <x:c r="E82" s="377" t="str">
        <x:v>Onboarding</x:v>
      </x:c>
      <x:c r="F82" s="377" t="str">
        <x:v>SIT</x:v>
      </x:c>
      <x:c r="G82" s="377" t="str">
        <x:v>AVRO</x:v>
      </x:c>
      <x:c r="H82" s="377" t="str">
        <x:v>Livré</x:v>
      </x:c>
      <x:c r="I82" s="377" t="str">
        <x:v>v1.2</x:v>
      </x:c>
      <x:c r="J82" s="377" t="n">
        <x:v>1</x:v>
      </x:c>
      <x:c r="K82" s="377"/>
      <x:c r="L82" s="377" t="str">
        <x:v>Réel</x:v>
      </x:c>
      <x:c r="M82" s="377" t="str">
        <x:v>fichier suivi.txt</x:v>
      </x:c>
      <x:c r="N82" s="377" t="str">
        <x:v>Reporting AVRO Issuing SIT</x:v>
      </x:c>
      <x:c r="O82" s="377" t="str">
        <x:v>Sprint 21</x:v>
      </x:c>
      <x:c r="P82" s="377" t="str">
        <x:v>Semaine 2</x:v>
      </x:c>
      <x:c r="Q82" s="377" t="str">
        <x:v>Prêt</x:v>
      </x:c>
      <x:c r="R82" s="377" t="str">
        <x:v>OK</x:v>
      </x:c>
      <x:c r="S82" s="363" t="str"/>
      <x:c r="T82" s="363" t="str"/>
      <x:c r="U82" s="363" t="str"/>
      <x:c r="V82" s="363" t="str"/>
      <x:c r="W82" s="363" t="str"/>
      <x:c r="X82" s="363" t="str"/>
      <x:c r="Y82" s="363" t="str"/>
      <x:c r="Z82" s="363" t="str"/>
      <x:c r="AA82" s="363" t="str"/>
      <x:c r="AB82" s="363" t="str"/>
      <x:c r="AC82"/>
      <x:c r="AD82"/>
      <x:c r="AE82"/>
      <x:c r="AF82"/>
      <x:c r="AG82"/>
    </x:row>
    <x:row r="83" ht="21.600000381469727" hidden="0" customHeight="1">
      <x:c r="A83" s="377" t="str">
        <x:v>2026-W32</x:v>
      </x:c>
      <x:c r="B83" s="377" t="n">
        <x:v>46243</x:v>
      </x:c>
      <x:c r="C83" s="377" t="str">
        <x:v>CMS14_003</x:v>
      </x:c>
      <x:c r="D83" s="377" t="str">
        <x:v>Issuing</x:v>
      </x:c>
      <x:c r="E83" s="377" t="str">
        <x:v>Onboarding</x:v>
      </x:c>
      <x:c r="F83" s="377" t="str">
        <x:v>SIT</x:v>
      </x:c>
      <x:c r="G83" s="377" t="str">
        <x:v>AVRO</x:v>
      </x:c>
      <x:c r="H83" s="377" t="str">
        <x:v>À traiter</x:v>
      </x:c>
      <x:c r="I83" s="377" t="str">
        <x:v>v1.5</x:v>
      </x:c>
      <x:c r="J83" s="377" t="n">
        <x:v>1</x:v>
      </x:c>
      <x:c r="K83" s="377"/>
      <x:c r="L83" s="377" t="str">
        <x:v>Réel</x:v>
      </x:c>
      <x:c r="M83" s="377" t="str">
        <x:v>fichier suivi.txt</x:v>
      </x:c>
      <x:c r="N83" s="377" t="str">
        <x:v>Reporting AVRO Issuing SIT</x:v>
      </x:c>
      <x:c r="O83" s="377" t="str">
        <x:v>Sprint 21</x:v>
      </x:c>
      <x:c r="P83" s="377" t="str">
        <x:v>Semaine 2</x:v>
      </x:c>
      <x:c r="Q83" s="377" t="str">
        <x:v>Non prêt</x:v>
      </x:c>
      <x:c r="R83" s="377" t="str">
        <x:v>KO</x:v>
      </x:c>
      <x:c r="S83" s="363" t="str"/>
      <x:c r="T83" s="363" t="str"/>
      <x:c r="U83" s="363" t="str"/>
      <x:c r="V83" s="363" t="str"/>
      <x:c r="W83" s="363" t="str"/>
      <x:c r="X83" s="363" t="str"/>
      <x:c r="Y83" s="363" t="str"/>
      <x:c r="Z83" s="363" t="str"/>
      <x:c r="AA83" s="363" t="str"/>
      <x:c r="AB83" s="363" t="str"/>
      <x:c r="AC83"/>
      <x:c r="AD83"/>
      <x:c r="AE83"/>
      <x:c r="AF83"/>
      <x:c r="AG83"/>
    </x:row>
    <x:row r="84" ht="21.600000381469727" hidden="0" customHeight="1">
      <x:c r="A84" s="377" t="str">
        <x:v>2026-W32</x:v>
      </x:c>
      <x:c r="B84" s="377" t="n">
        <x:v>46243</x:v>
      </x:c>
      <x:c r="C84" s="377" t="str">
        <x:v>OA3_002</x:v>
      </x:c>
      <x:c r="D84" s="377" t="str">
        <x:v>Issuing</x:v>
      </x:c>
      <x:c r="E84" s="377" t="str">
        <x:v>Authorize / Paiement</x:v>
      </x:c>
      <x:c r="F84" s="377" t="str">
        <x:v>SIT</x:v>
      </x:c>
      <x:c r="G84" s="377" t="str">
        <x:v>AVRO</x:v>
      </x:c>
      <x:c r="H84" s="377" t="str">
        <x:v>Livré</x:v>
      </x:c>
      <x:c r="I84" s="377" t="str">
        <x:v>v1.3.0</x:v>
      </x:c>
      <x:c r="J84" s="377" t="n">
        <x:v>1</x:v>
      </x:c>
      <x:c r="K84" s="377"/>
      <x:c r="L84" s="377" t="str">
        <x:v>Réel</x:v>
      </x:c>
      <x:c r="M84" s="377" t="str">
        <x:v>fichier suivi.txt</x:v>
      </x:c>
      <x:c r="N84" s="377" t="str">
        <x:v>Reporting AVRO Issuing SIT</x:v>
      </x:c>
      <x:c r="O84" s="377" t="str">
        <x:v>Sprint 21</x:v>
      </x:c>
      <x:c r="P84" s="377" t="str">
        <x:v>Semaine 2</x:v>
      </x:c>
      <x:c r="Q84" s="377" t="str">
        <x:v>Prêt</x:v>
      </x:c>
      <x:c r="R84" s="377" t="str">
        <x:v>OK</x:v>
      </x:c>
      <x:c r="S84" s="363" t="str"/>
      <x:c r="T84" s="363" t="str"/>
      <x:c r="U84" s="363" t="str"/>
      <x:c r="V84" s="363" t="str"/>
      <x:c r="W84" s="363" t="str"/>
      <x:c r="X84" s="363" t="str"/>
      <x:c r="Y84" s="363" t="str"/>
      <x:c r="Z84" s="363" t="str"/>
      <x:c r="AA84" s="363" t="str"/>
      <x:c r="AB84" s="363" t="str"/>
      <x:c r="AC84"/>
      <x:c r="AD84"/>
      <x:c r="AE84"/>
      <x:c r="AF84"/>
      <x:c r="AG84"/>
    </x:row>
    <x:row r="85" ht="21.600000381469727" hidden="0" customHeight="1">
      <x:c r="A85" s="377" t="str">
        <x:v>2026-W32</x:v>
      </x:c>
      <x:c r="B85" s="377" t="n">
        <x:v>46243</x:v>
      </x:c>
      <x:c r="C85" s="377" t="str">
        <x:v>CNT-EM6</x:v>
      </x:c>
      <x:c r="D85" s="377" t="str">
        <x:v>Issuing</x:v>
      </x:c>
      <x:c r="E85" s="377" t="str">
        <x:v>Contestation</x:v>
      </x:c>
      <x:c r="F85" s="377" t="str">
        <x:v>SIT</x:v>
      </x:c>
      <x:c r="G85" s="377" t="str">
        <x:v>AVRO</x:v>
      </x:c>
      <x:c r="H85" s="377" t="str">
        <x:v>Livré</x:v>
      </x:c>
      <x:c r="I85" s="377" t="str">
        <x:v>v1.7</x:v>
      </x:c>
      <x:c r="J85" s="377" t="n">
        <x:v>1</x:v>
      </x:c>
      <x:c r="K85" s="377"/>
      <x:c r="L85" s="377" t="str">
        <x:v>Réel</x:v>
      </x:c>
      <x:c r="M85" s="377" t="str">
        <x:v>fichier suivi.txt</x:v>
      </x:c>
      <x:c r="N85" s="377" t="str">
        <x:v>Reporting AVRO Issuing SIT</x:v>
      </x:c>
      <x:c r="O85" s="377" t="str">
        <x:v>Sprint 21</x:v>
      </x:c>
      <x:c r="P85" s="377" t="str">
        <x:v>Semaine 2</x:v>
      </x:c>
      <x:c r="Q85" s="377" t="str">
        <x:v>Prêt</x:v>
      </x:c>
      <x:c r="R85" s="377" t="str">
        <x:v>OK</x:v>
      </x:c>
      <x:c r="S85" s="363" t="str"/>
      <x:c r="T85" s="363" t="str"/>
      <x:c r="U85" s="363" t="str"/>
      <x:c r="V85" s="363" t="str"/>
      <x:c r="W85" s="363" t="str"/>
      <x:c r="X85" s="363" t="str"/>
      <x:c r="Y85" s="363" t="str"/>
      <x:c r="Z85" s="363" t="str"/>
      <x:c r="AA85" s="363" t="str"/>
      <x:c r="AB85" s="363" t="str"/>
      <x:c r="AC85"/>
      <x:c r="AD85"/>
      <x:c r="AE85"/>
      <x:c r="AF85"/>
      <x:c r="AG85"/>
    </x:row>
    <x:row r="86" ht="21.600000381469727" hidden="0" customHeight="1">
      <x:c r="A86" s="377" t="str">
        <x:v>2026-W32</x:v>
      </x:c>
      <x:c r="B86" s="377" t="n">
        <x:v>46243</x:v>
      </x:c>
      <x:c r="C86" s="377" t="str">
        <x:v>CNT-EM9</x:v>
      </x:c>
      <x:c r="D86" s="377" t="str">
        <x:v>Issuing</x:v>
      </x:c>
      <x:c r="E86" s="377" t="str">
        <x:v>Contestation</x:v>
      </x:c>
      <x:c r="F86" s="377" t="str">
        <x:v>SIT</x:v>
      </x:c>
      <x:c r="G86" s="377" t="str">
        <x:v>AVRO</x:v>
      </x:c>
      <x:c r="H86" s="377" t="str">
        <x:v>Livré</x:v>
      </x:c>
      <x:c r="I86" s="377" t="str">
        <x:v>v1.7</x:v>
      </x:c>
      <x:c r="J86" s="377" t="n">
        <x:v>1</x:v>
      </x:c>
      <x:c r="K86" s="377"/>
      <x:c r="L86" s="377" t="str">
        <x:v>Réel</x:v>
      </x:c>
      <x:c r="M86" s="377" t="str">
        <x:v>fichier suivi.txt</x:v>
      </x:c>
      <x:c r="N86" s="377" t="str">
        <x:v>Reporting AVRO Issuing SIT</x:v>
      </x:c>
      <x:c r="O86" s="377" t="str">
        <x:v>Sprint 21</x:v>
      </x:c>
      <x:c r="P86" s="377" t="str">
        <x:v>Semaine 2</x:v>
      </x:c>
      <x:c r="Q86" s="377" t="str">
        <x:v>Prêt</x:v>
      </x:c>
      <x:c r="R86" s="377" t="str">
        <x:v>OK</x:v>
      </x:c>
      <x:c r="S86" s="363" t="str"/>
      <x:c r="T86" s="363" t="str"/>
      <x:c r="U86" s="363" t="str"/>
      <x:c r="V86" s="363" t="str"/>
      <x:c r="W86" s="363" t="str"/>
      <x:c r="X86" s="363" t="str"/>
      <x:c r="Y86" s="363" t="str"/>
      <x:c r="Z86" s="363" t="str"/>
      <x:c r="AA86" s="363" t="str"/>
      <x:c r="AB86" s="363" t="str"/>
      <x:c r="AC86"/>
      <x:c r="AD86"/>
      <x:c r="AE86"/>
      <x:c r="AF86"/>
      <x:c r="AG86"/>
    </x:row>
    <x:row r="87" ht="21.600000381469727" hidden="0" customHeight="1">
      <x:c r="A87" s="377" t="str">
        <x:v>2026-W32</x:v>
      </x:c>
      <x:c r="B87" s="377" t="n">
        <x:v>46243</x:v>
      </x:c>
      <x:c r="C87" s="377" t="str">
        <x:v>CNT-EM15</x:v>
      </x:c>
      <x:c r="D87" s="377" t="str">
        <x:v>Issuing</x:v>
      </x:c>
      <x:c r="E87" s="377" t="str">
        <x:v>Contestation</x:v>
      </x:c>
      <x:c r="F87" s="377" t="str">
        <x:v>SIT</x:v>
      </x:c>
      <x:c r="G87" s="377" t="str">
        <x:v>AVRO</x:v>
      </x:c>
      <x:c r="H87" s="377" t="str">
        <x:v>Livré</x:v>
      </x:c>
      <x:c r="I87" s="377" t="str">
        <x:v>v1.7</x:v>
      </x:c>
      <x:c r="J87" s="377" t="n">
        <x:v>1</x:v>
      </x:c>
      <x:c r="K87" s="377"/>
      <x:c r="L87" s="377" t="str">
        <x:v>Réel</x:v>
      </x:c>
      <x:c r="M87" s="377" t="str">
        <x:v>fichier suivi.txt</x:v>
      </x:c>
      <x:c r="N87" s="377" t="str">
        <x:v>Reporting AVRO Issuing SIT</x:v>
      </x:c>
      <x:c r="O87" s="377" t="str">
        <x:v>Sprint 21</x:v>
      </x:c>
      <x:c r="P87" s="377" t="str">
        <x:v>Semaine 2</x:v>
      </x:c>
      <x:c r="Q87" s="377" t="str">
        <x:v>Prêt</x:v>
      </x:c>
      <x:c r="R87" s="377" t="str">
        <x:v>OK</x:v>
      </x:c>
      <x:c r="S87" s="363" t="str"/>
      <x:c r="T87" s="363" t="str"/>
      <x:c r="U87" s="363" t="str"/>
      <x:c r="V87" s="363" t="str"/>
      <x:c r="W87" s="363" t="str"/>
      <x:c r="X87" s="363" t="str"/>
      <x:c r="Y87" s="363" t="str"/>
      <x:c r="Z87" s="363" t="str"/>
      <x:c r="AA87" s="363" t="str"/>
      <x:c r="AB87" s="363" t="str"/>
      <x:c r="AC87"/>
      <x:c r="AD87"/>
      <x:c r="AE87"/>
      <x:c r="AF87"/>
      <x:c r="AG87"/>
    </x:row>
    <x:row r="88" ht="21.600000381469727" hidden="0" customHeight="1">
      <x:c r="A88" s="377" t="str">
        <x:v>2026-W32</x:v>
      </x:c>
      <x:c r="B88" s="377" t="n">
        <x:v>46243</x:v>
      </x:c>
      <x:c r="C88" s="377" t="str">
        <x:v>CNT-EM18</x:v>
      </x:c>
      <x:c r="D88" s="377" t="str">
        <x:v>Issuing</x:v>
      </x:c>
      <x:c r="E88" s="377" t="str">
        <x:v>Contestation</x:v>
      </x:c>
      <x:c r="F88" s="377" t="str">
        <x:v>SIT</x:v>
      </x:c>
      <x:c r="G88" s="377" t="str">
        <x:v>AVRO</x:v>
      </x:c>
      <x:c r="H88" s="377" t="str">
        <x:v>Livré</x:v>
      </x:c>
      <x:c r="I88" s="377" t="str">
        <x:v>v1.7</x:v>
      </x:c>
      <x:c r="J88" s="377" t="n">
        <x:v>1</x:v>
      </x:c>
      <x:c r="K88" s="377"/>
      <x:c r="L88" s="377" t="str">
        <x:v>Réel</x:v>
      </x:c>
      <x:c r="M88" s="377" t="str">
        <x:v>fichier suivi.txt</x:v>
      </x:c>
      <x:c r="N88" s="377" t="str">
        <x:v>Reporting AVRO Issuing SIT</x:v>
      </x:c>
      <x:c r="O88" s="377" t="str">
        <x:v>Sprint 21</x:v>
      </x:c>
      <x:c r="P88" s="377" t="str">
        <x:v>Semaine 2</x:v>
      </x:c>
      <x:c r="Q88" s="377" t="str">
        <x:v>Prêt</x:v>
      </x:c>
      <x:c r="R88" s="377" t="str">
        <x:v>OK</x:v>
      </x:c>
      <x:c r="S88" s="363" t="str"/>
      <x:c r="T88" s="363" t="str"/>
      <x:c r="U88" s="363" t="str"/>
      <x:c r="V88" s="363" t="str"/>
      <x:c r="W88" s="363" t="str"/>
      <x:c r="X88" s="363" t="str"/>
      <x:c r="Y88" s="363" t="str"/>
      <x:c r="Z88" s="363" t="str"/>
      <x:c r="AA88" s="363" t="str"/>
      <x:c r="AB88" s="363" t="str"/>
      <x:c r="AC88"/>
      <x:c r="AD88"/>
      <x:c r="AE88"/>
      <x:c r="AF88"/>
      <x:c r="AG88"/>
    </x:row>
    <x:row r="89" ht="21.600000381469727" hidden="0" customHeight="1">
      <x:c r="A89" s="377" t="str">
        <x:v>2026-W32</x:v>
      </x:c>
      <x:c r="B89" s="377" t="n">
        <x:v>46243</x:v>
      </x:c>
      <x:c r="C89" s="377" t="str">
        <x:v>DMS12-1</x:v>
      </x:c>
      <x:c r="D89" s="377" t="str">
        <x:v>Issuing</x:v>
      </x:c>
      <x:c r="E89" s="377" t="str">
        <x:v>GED</x:v>
      </x:c>
      <x:c r="F89" s="377" t="str">
        <x:v>SIT</x:v>
      </x:c>
      <x:c r="G89" s="377" t="str">
        <x:v>AVRO</x:v>
      </x:c>
      <x:c r="H89" s="377" t="str">
        <x:v>Livré</x:v>
      </x:c>
      <x:c r="I89" s="377"/>
      <x:c r="J89" s="377" t="n">
        <x:v>1</x:v>
      </x:c>
      <x:c r="K89" s="377"/>
      <x:c r="L89" s="377" t="str">
        <x:v>Réel</x:v>
      </x:c>
      <x:c r="M89" s="377" t="str">
        <x:v>fichier suivi.txt</x:v>
      </x:c>
      <x:c r="N89" s="377" t="str">
        <x:v>Reporting AVRO Issuing SIT</x:v>
      </x:c>
      <x:c r="O89" s="377" t="str">
        <x:v>Sprint 21</x:v>
      </x:c>
      <x:c r="P89" s="377" t="str">
        <x:v>Semaine 2</x:v>
      </x:c>
      <x:c r="Q89" s="377" t="str">
        <x:v>Prêt</x:v>
      </x:c>
      <x:c r="R89" s="377" t="str">
        <x:v>OK</x:v>
      </x:c>
      <x:c r="S89" s="363" t="str"/>
      <x:c r="T89" s="363" t="str"/>
      <x:c r="U89" s="363" t="str"/>
      <x:c r="V89" s="363" t="str"/>
      <x:c r="W89" s="363" t="str"/>
      <x:c r="X89" s="363" t="str"/>
      <x:c r="Y89" s="363" t="str"/>
      <x:c r="Z89" s="363" t="str"/>
      <x:c r="AA89" s="363" t="str"/>
      <x:c r="AB89" s="363" t="str"/>
      <x:c r="AC89"/>
      <x:c r="AD89"/>
      <x:c r="AE89"/>
      <x:c r="AF89"/>
      <x:c r="AG89"/>
    </x:row>
    <x:row r="90" ht="21.600000381469727" hidden="0" customHeight="1">
      <x:c r="A90" s="377" t="str">
        <x:v>2026-W32</x:v>
      </x:c>
      <x:c r="B90" s="377" t="n">
        <x:v>46243</x:v>
      </x:c>
      <x:c r="C90" s="377" t="str">
        <x:v>DMS12-2</x:v>
      </x:c>
      <x:c r="D90" s="377" t="str">
        <x:v>Issuing</x:v>
      </x:c>
      <x:c r="E90" s="377" t="str">
        <x:v>GED</x:v>
      </x:c>
      <x:c r="F90" s="377" t="str">
        <x:v>SIT</x:v>
      </x:c>
      <x:c r="G90" s="377" t="str">
        <x:v>AVRO</x:v>
      </x:c>
      <x:c r="H90" s="377" t="str">
        <x:v>Livré</x:v>
      </x:c>
      <x:c r="I90" s="377"/>
      <x:c r="J90" s="377" t="n">
        <x:v>1</x:v>
      </x:c>
      <x:c r="K90" s="377"/>
      <x:c r="L90" s="377" t="str">
        <x:v>Réel</x:v>
      </x:c>
      <x:c r="M90" s="377" t="str">
        <x:v>fichier suivi.txt</x:v>
      </x:c>
      <x:c r="N90" s="377" t="str">
        <x:v>Reporting AVRO Issuing SIT</x:v>
      </x:c>
      <x:c r="O90" s="377" t="str">
        <x:v>Sprint 21</x:v>
      </x:c>
      <x:c r="P90" s="377" t="str">
        <x:v>Semaine 2</x:v>
      </x:c>
      <x:c r="Q90" s="377" t="str">
        <x:v>Prêt</x:v>
      </x:c>
      <x:c r="R90" s="377" t="str">
        <x:v>OK</x:v>
      </x:c>
      <x:c r="S90" s="363" t="str"/>
      <x:c r="T90" s="363" t="str"/>
      <x:c r="U90" s="363" t="str"/>
      <x:c r="V90" s="363" t="str"/>
      <x:c r="W90" s="363" t="str"/>
      <x:c r="X90" s="363" t="str"/>
      <x:c r="Y90" s="363" t="str"/>
      <x:c r="Z90" s="363" t="str"/>
      <x:c r="AA90" s="363" t="str"/>
      <x:c r="AB90" s="363" t="str"/>
      <x:c r="AC90"/>
      <x:c r="AD90"/>
      <x:c r="AE90"/>
      <x:c r="AF90"/>
      <x:c r="AG90"/>
    </x:row>
    <x:row r="91" ht="21.600000381469727" hidden="0" customHeight="1">
      <x:c r="A91" s="377" t="str">
        <x:v>2026-W32</x:v>
      </x:c>
      <x:c r="B91" s="377" t="n">
        <x:v>46243</x:v>
      </x:c>
      <x:c r="C91" s="377" t="str">
        <x:v>MM4-1</x:v>
      </x:c>
      <x:c r="D91" s="377" t="str">
        <x:v>Acquisition</x:v>
      </x:c>
      <x:c r="E91" s="377" t="str">
        <x:v>Onboarding</x:v>
      </x:c>
      <x:c r="F91" s="377" t="str">
        <x:v>UAT</x:v>
      </x:c>
      <x:c r="G91" s="377" t="str">
        <x:v>Configuration</x:v>
      </x:c>
      <x:c r="H91" s="377" t="str">
        <x:v>Livré</x:v>
      </x:c>
      <x:c r="I91" s="377" t="str">
        <x:v>v1.5.0</x:v>
      </x:c>
      <x:c r="J91" s="377" t="n">
        <x:v>1</x:v>
      </x:c>
      <x:c r="K91" s="377"/>
      <x:c r="L91" s="377" t="str">
        <x:v>Réel</x:v>
      </x:c>
      <x:c r="M91" s="377" t="str">
        <x:v>fichier suivi.txt</x:v>
      </x:c>
      <x:c r="N91" s="377" t="str">
        <x:v>Reporting AVRO Acquisition UAT</x:v>
      </x:c>
      <x:c r="O91" s="377" t="str">
        <x:v>Sprint 21</x:v>
      </x:c>
      <x:c r="P91" s="377" t="str">
        <x:v>Semaine 2</x:v>
      </x:c>
      <x:c r="Q91" s="377" t="str">
        <x:v>Prêt</x:v>
      </x:c>
      <x:c r="R91" s="377" t="str">
        <x:v>OK</x:v>
      </x:c>
      <x:c r="S91" s="363" t="str"/>
      <x:c r="T91" s="363" t="str"/>
      <x:c r="U91" s="363" t="str"/>
      <x:c r="V91" s="363" t="str"/>
      <x:c r="W91" s="363" t="str"/>
      <x:c r="X91" s="363" t="str"/>
      <x:c r="Y91" s="363" t="str"/>
      <x:c r="Z91" s="363" t="str"/>
      <x:c r="AA91" s="363" t="str"/>
      <x:c r="AB91" s="363" t="str"/>
      <x:c r="AC91"/>
      <x:c r="AD91"/>
      <x:c r="AE91"/>
      <x:c r="AF91"/>
      <x:c r="AG91"/>
    </x:row>
    <x:row r="92" ht="21.600000381469727" hidden="0" customHeight="1">
      <x:c r="A92" s="377" t="str">
        <x:v>2026-W32</x:v>
      </x:c>
      <x:c r="B92" s="377" t="n">
        <x:v>46243</x:v>
      </x:c>
      <x:c r="C92" s="377" t="str">
        <x:v>MM4-2</x:v>
      </x:c>
      <x:c r="D92" s="377" t="str">
        <x:v>Acquisition</x:v>
      </x:c>
      <x:c r="E92" s="377" t="str">
        <x:v>Onboarding</x:v>
      </x:c>
      <x:c r="F92" s="377" t="str">
        <x:v>UAT</x:v>
      </x:c>
      <x:c r="G92" s="377" t="str">
        <x:v>Configuration</x:v>
      </x:c>
      <x:c r="H92" s="377" t="str">
        <x:v>Livré</x:v>
      </x:c>
      <x:c r="I92" s="377" t="str">
        <x:v>v1.5.0</x:v>
      </x:c>
      <x:c r="J92" s="377" t="n">
        <x:v>1</x:v>
      </x:c>
      <x:c r="K92" s="377"/>
      <x:c r="L92" s="377" t="str">
        <x:v>Réel</x:v>
      </x:c>
      <x:c r="M92" s="377" t="str">
        <x:v>fichier suivi.txt</x:v>
      </x:c>
      <x:c r="N92" s="377" t="str">
        <x:v>Reporting AVRO Acquisition UAT</x:v>
      </x:c>
      <x:c r="O92" s="377" t="str">
        <x:v>Sprint 21</x:v>
      </x:c>
      <x:c r="P92" s="377" t="str">
        <x:v>Semaine 2</x:v>
      </x:c>
      <x:c r="Q92" s="377" t="str">
        <x:v>Prêt</x:v>
      </x:c>
      <x:c r="R92" s="377" t="str">
        <x:v>OK</x:v>
      </x:c>
      <x:c r="S92" s="363" t="str"/>
      <x:c r="T92" s="363" t="str"/>
      <x:c r="U92" s="363" t="str"/>
      <x:c r="V92" s="363" t="str"/>
      <x:c r="W92" s="363" t="str"/>
      <x:c r="X92" s="363" t="str"/>
      <x:c r="Y92" s="363" t="str"/>
      <x:c r="Z92" s="363" t="str"/>
      <x:c r="AA92" s="363" t="str"/>
      <x:c r="AB92" s="363" t="str"/>
      <x:c r="AC92"/>
      <x:c r="AD92"/>
      <x:c r="AE92"/>
      <x:c r="AF92"/>
      <x:c r="AG92"/>
    </x:row>
    <x:row r="93" ht="21.600000381469727" hidden="0" customHeight="1">
      <x:c r="A93" s="377" t="str">
        <x:v>2026-W32</x:v>
      </x:c>
      <x:c r="B93" s="377" t="n">
        <x:v>46243</x:v>
      </x:c>
      <x:c r="C93" s="377" t="str">
        <x:v>MM4-3</x:v>
      </x:c>
      <x:c r="D93" s="377" t="str">
        <x:v>Acquisition</x:v>
      </x:c>
      <x:c r="E93" s="377" t="str">
        <x:v>Onboarding</x:v>
      </x:c>
      <x:c r="F93" s="377" t="str">
        <x:v>UAT</x:v>
      </x:c>
      <x:c r="G93" s="377" t="str">
        <x:v>Configuration</x:v>
      </x:c>
      <x:c r="H93" s="377" t="str">
        <x:v>Livré</x:v>
      </x:c>
      <x:c r="I93" s="377" t="str">
        <x:v>v1.5.0</x:v>
      </x:c>
      <x:c r="J93" s="377" t="n">
        <x:v>1</x:v>
      </x:c>
      <x:c r="K93" s="377"/>
      <x:c r="L93" s="377" t="str">
        <x:v>Réel</x:v>
      </x:c>
      <x:c r="M93" s="377" t="str">
        <x:v>fichier suivi.txt</x:v>
      </x:c>
      <x:c r="N93" s="377" t="str">
        <x:v>Reporting AVRO Acquisition UAT</x:v>
      </x:c>
      <x:c r="O93" s="377" t="str">
        <x:v>Sprint 21</x:v>
      </x:c>
      <x:c r="P93" s="377" t="str">
        <x:v>Semaine 2</x:v>
      </x:c>
      <x:c r="Q93" s="377" t="str">
        <x:v>Prêt</x:v>
      </x:c>
      <x:c r="R93" s="377" t="str">
        <x:v>OK</x:v>
      </x:c>
      <x:c r="S93" s="363" t="str"/>
      <x:c r="T93" s="363" t="str"/>
      <x:c r="U93" s="363" t="str"/>
      <x:c r="V93" s="363" t="str"/>
      <x:c r="W93" s="363" t="str"/>
      <x:c r="X93" s="363" t="str"/>
      <x:c r="Y93" s="363" t="str"/>
      <x:c r="Z93" s="363" t="str"/>
      <x:c r="AA93" s="363" t="str"/>
      <x:c r="AB93" s="363" t="str"/>
      <x:c r="AC93"/>
      <x:c r="AD93"/>
      <x:c r="AE93"/>
      <x:c r="AF93"/>
      <x:c r="AG93"/>
    </x:row>
    <x:row r="94" ht="21.600000381469727" hidden="0" customHeight="1">
      <x:c r="A94" s="377" t="str">
        <x:v>2026-W32</x:v>
      </x:c>
      <x:c r="B94" s="377" t="n">
        <x:v>46243</x:v>
      </x:c>
      <x:c r="C94" s="377" t="str">
        <x:v>MM4-4</x:v>
      </x:c>
      <x:c r="D94" s="377" t="str">
        <x:v>Acquisition</x:v>
      </x:c>
      <x:c r="E94" s="377" t="str">
        <x:v>Onboarding</x:v>
      </x:c>
      <x:c r="F94" s="377" t="str">
        <x:v>UAT</x:v>
      </x:c>
      <x:c r="G94" s="377" t="str">
        <x:v>Configuration</x:v>
      </x:c>
      <x:c r="H94" s="377" t="str">
        <x:v>Livré</x:v>
      </x:c>
      <x:c r="I94" s="377" t="str">
        <x:v>v1.5.0</x:v>
      </x:c>
      <x:c r="J94" s="377" t="n">
        <x:v>1</x:v>
      </x:c>
      <x:c r="K94" s="377"/>
      <x:c r="L94" s="377" t="str">
        <x:v>Réel</x:v>
      </x:c>
      <x:c r="M94" s="377" t="str">
        <x:v>fichier suivi.txt</x:v>
      </x:c>
      <x:c r="N94" s="377" t="str">
        <x:v>Reporting AVRO Acquisition UAT</x:v>
      </x:c>
      <x:c r="O94" s="377" t="str">
        <x:v>Sprint 21</x:v>
      </x:c>
      <x:c r="P94" s="377" t="str">
        <x:v>Semaine 2</x:v>
      </x:c>
      <x:c r="Q94" s="377" t="str">
        <x:v>Prêt</x:v>
      </x:c>
      <x:c r="R94" s="377" t="str">
        <x:v>OK</x:v>
      </x:c>
      <x:c r="S94" s="363" t="str"/>
      <x:c r="T94" s="363" t="str"/>
      <x:c r="U94" s="363" t="str"/>
      <x:c r="V94" s="363" t="str"/>
      <x:c r="W94" s="363" t="str"/>
      <x:c r="X94" s="363" t="str"/>
      <x:c r="Y94" s="363" t="str"/>
      <x:c r="Z94" s="363" t="str"/>
      <x:c r="AA94" s="363" t="str"/>
      <x:c r="AB94" s="363" t="str"/>
      <x:c r="AC94"/>
      <x:c r="AD94"/>
      <x:c r="AE94"/>
      <x:c r="AF94"/>
      <x:c r="AG94"/>
    </x:row>
    <x:row r="95" ht="21.600000381469727" hidden="0" customHeight="1">
      <x:c r="A95" s="377" t="str">
        <x:v>2026-W32</x:v>
      </x:c>
      <x:c r="B95" s="377" t="n">
        <x:v>46243</x:v>
      </x:c>
      <x:c r="C95" s="377" t="str">
        <x:v>MM4-5</x:v>
      </x:c>
      <x:c r="D95" s="377" t="str">
        <x:v>Acquisition</x:v>
      </x:c>
      <x:c r="E95" s="377" t="str">
        <x:v>Onboarding</x:v>
      </x:c>
      <x:c r="F95" s="377" t="str">
        <x:v>UAT</x:v>
      </x:c>
      <x:c r="G95" s="377" t="str">
        <x:v>Configuration</x:v>
      </x:c>
      <x:c r="H95" s="377" t="str">
        <x:v>Livré</x:v>
      </x:c>
      <x:c r="I95" s="377" t="str">
        <x:v>v1.5.0</x:v>
      </x:c>
      <x:c r="J95" s="377" t="n">
        <x:v>1</x:v>
      </x:c>
      <x:c r="K95" s="377"/>
      <x:c r="L95" s="377" t="str">
        <x:v>Réel</x:v>
      </x:c>
      <x:c r="M95" s="377" t="str">
        <x:v>fichier suivi.txt</x:v>
      </x:c>
      <x:c r="N95" s="377" t="str">
        <x:v>Reporting AVRO Acquisition UAT</x:v>
      </x:c>
      <x:c r="O95" s="377" t="str">
        <x:v>Sprint 21</x:v>
      </x:c>
      <x:c r="P95" s="377" t="str">
        <x:v>Semaine 2</x:v>
      </x:c>
      <x:c r="Q95" s="377" t="str">
        <x:v>Prêt</x:v>
      </x:c>
      <x:c r="R95" s="377" t="str">
        <x:v>OK</x:v>
      </x:c>
      <x:c r="S95" s="363" t="str"/>
      <x:c r="T95" s="363" t="str"/>
      <x:c r="U95" s="363" t="str"/>
      <x:c r="V95" s="363" t="str"/>
      <x:c r="W95" s="363" t="str"/>
      <x:c r="X95" s="363" t="str"/>
      <x:c r="Y95" s="363" t="str"/>
      <x:c r="Z95" s="363" t="str"/>
      <x:c r="AA95" s="363" t="str"/>
      <x:c r="AB95" s="363" t="str"/>
      <x:c r="AC95"/>
      <x:c r="AD95"/>
      <x:c r="AE95"/>
      <x:c r="AF95"/>
      <x:c r="AG95"/>
    </x:row>
    <x:row r="96" ht="32.400001525878906" hidden="0" customHeight="1">
      <x:c r="A96" s="377" t="str">
        <x:v>2026-W32</x:v>
      </x:c>
      <x:c r="B96" s="377" t="n">
        <x:v>46243</x:v>
      </x:c>
      <x:c r="C96" s="377" t="str">
        <x:v>MM5-1</x:v>
      </x:c>
      <x:c r="D96" s="377" t="str">
        <x:v>Acquisition</x:v>
      </x:c>
      <x:c r="E96" s="377" t="str">
        <x:v>Onboarding</x:v>
      </x:c>
      <x:c r="F96" s="377" t="str">
        <x:v>UAT</x:v>
      </x:c>
      <x:c r="G96" s="377" t="str">
        <x:v>AVRO</x:v>
      </x:c>
      <x:c r="H96" s="377" t="str">
        <x:v>Livré</x:v>
      </x:c>
      <x:c r="I96" s="377" t="str">
        <x:v>v0.1.1 / v1.5.1 / v1.5.0</x:v>
      </x:c>
      <x:c r="J96" s="377" t="n">
        <x:v>1</x:v>
      </x:c>
      <x:c r="K96" s="377" t="str">
        <x:v>Versions livrées consolidées sur une seule ligne</x:v>
      </x:c>
      <x:c r="L96" s="377" t="str">
        <x:v>Réel</x:v>
      </x:c>
      <x:c r="M96" s="377" t="str">
        <x:v>fichier suivi.txt</x:v>
      </x:c>
      <x:c r="N96" s="377" t="str">
        <x:v>Reporting AVRO Acquisition UAT</x:v>
      </x:c>
      <x:c r="O96" s="377" t="str">
        <x:v>Sprint 21</x:v>
      </x:c>
      <x:c r="P96" s="377" t="str">
        <x:v>Semaine 2</x:v>
      </x:c>
      <x:c r="Q96" s="377" t="str">
        <x:v>Prêt</x:v>
      </x:c>
      <x:c r="R96" s="377" t="str">
        <x:v>OK</x:v>
      </x:c>
      <x:c r="S96" s="363" t="str"/>
      <x:c r="T96" s="363" t="str"/>
      <x:c r="U96" s="363" t="str"/>
      <x:c r="V96" s="363" t="str"/>
      <x:c r="W96" s="363" t="str"/>
      <x:c r="X96" s="363" t="str"/>
      <x:c r="Y96" s="363" t="str"/>
      <x:c r="Z96" s="363" t="str"/>
      <x:c r="AA96" s="363" t="str"/>
      <x:c r="AB96" s="363" t="str"/>
      <x:c r="AC96"/>
      <x:c r="AD96"/>
      <x:c r="AE96"/>
      <x:c r="AF96"/>
      <x:c r="AG96"/>
    </x:row>
    <x:row r="97" ht="32.400001525878906" hidden="0" customHeight="1">
      <x:c r="A97" s="377" t="str">
        <x:v>2026-W32</x:v>
      </x:c>
      <x:c r="B97" s="377" t="n">
        <x:v>46243</x:v>
      </x:c>
      <x:c r="C97" s="377" t="str">
        <x:v>MM5-2</x:v>
      </x:c>
      <x:c r="D97" s="377" t="str">
        <x:v>Acquisition</x:v>
      </x:c>
      <x:c r="E97" s="377" t="str">
        <x:v>Onboarding</x:v>
      </x:c>
      <x:c r="F97" s="377" t="str">
        <x:v>UAT</x:v>
      </x:c>
      <x:c r="G97" s="377" t="str">
        <x:v>AVRO</x:v>
      </x:c>
      <x:c r="H97" s="377" t="str">
        <x:v>Livré</x:v>
      </x:c>
      <x:c r="I97" s="377" t="str">
        <x:v>v0.1.1 / v1.5.1 / v1.5.0</x:v>
      </x:c>
      <x:c r="J97" s="377" t="n">
        <x:v>1</x:v>
      </x:c>
      <x:c r="K97" s="377" t="str">
        <x:v>Versions livrées consolidées sur une seule ligne</x:v>
      </x:c>
      <x:c r="L97" s="377" t="str">
        <x:v>Réel</x:v>
      </x:c>
      <x:c r="M97" s="377" t="str">
        <x:v>fichier suivi.txt</x:v>
      </x:c>
      <x:c r="N97" s="377" t="str">
        <x:v>Reporting AVRO Acquisition UAT</x:v>
      </x:c>
      <x:c r="O97" s="377" t="str">
        <x:v>Sprint 21</x:v>
      </x:c>
      <x:c r="P97" s="377" t="str">
        <x:v>Semaine 2</x:v>
      </x:c>
      <x:c r="Q97" s="377" t="str">
        <x:v>Prêt</x:v>
      </x:c>
      <x:c r="R97" s="377" t="str">
        <x:v>OK</x:v>
      </x:c>
      <x:c r="S97" s="363" t="str"/>
      <x:c r="T97" s="363" t="str"/>
      <x:c r="U97" s="363" t="str"/>
      <x:c r="V97" s="363" t="str"/>
      <x:c r="W97" s="363" t="str"/>
      <x:c r="X97" s="363" t="str"/>
      <x:c r="Y97" s="363" t="str"/>
      <x:c r="Z97" s="363" t="str"/>
      <x:c r="AA97" s="363" t="str"/>
      <x:c r="AB97" s="363" t="str"/>
      <x:c r="AC97"/>
      <x:c r="AD97"/>
      <x:c r="AE97"/>
      <x:c r="AF97"/>
      <x:c r="AG97"/>
    </x:row>
    <x:row r="98" ht="32.400001525878906" hidden="0" customHeight="1">
      <x:c r="A98" s="377" t="str">
        <x:v>2026-W32</x:v>
      </x:c>
      <x:c r="B98" s="377" t="n">
        <x:v>46243</x:v>
      </x:c>
      <x:c r="C98" s="377" t="str">
        <x:v>MM5-3</x:v>
      </x:c>
      <x:c r="D98" s="377" t="str">
        <x:v>Acquisition</x:v>
      </x:c>
      <x:c r="E98" s="377" t="str">
        <x:v>Onboarding</x:v>
      </x:c>
      <x:c r="F98" s="377" t="str">
        <x:v>UAT</x:v>
      </x:c>
      <x:c r="G98" s="377" t="str">
        <x:v>AVRO</x:v>
      </x:c>
      <x:c r="H98" s="377" t="str">
        <x:v>Livré</x:v>
      </x:c>
      <x:c r="I98" s="377" t="str">
        <x:v>v0.1.1 / v1.5.1 / v1.5.0</x:v>
      </x:c>
      <x:c r="J98" s="377" t="n">
        <x:v>1</x:v>
      </x:c>
      <x:c r="K98" s="377" t="str">
        <x:v>Versions livrées consolidées sur une seule ligne</x:v>
      </x:c>
      <x:c r="L98" s="377" t="str">
        <x:v>Réel</x:v>
      </x:c>
      <x:c r="M98" s="377" t="str">
        <x:v>fichier suivi.txt</x:v>
      </x:c>
      <x:c r="N98" s="377" t="str">
        <x:v>Reporting AVRO Acquisition UAT</x:v>
      </x:c>
      <x:c r="O98" s="377" t="str">
        <x:v>Sprint 21</x:v>
      </x:c>
      <x:c r="P98" s="377" t="str">
        <x:v>Semaine 2</x:v>
      </x:c>
      <x:c r="Q98" s="377" t="str">
        <x:v>Prêt</x:v>
      </x:c>
      <x:c r="R98" s="377" t="str">
        <x:v>OK</x:v>
      </x:c>
      <x:c r="S98" s="363" t="str"/>
      <x:c r="T98" s="363" t="str"/>
      <x:c r="U98" s="363" t="str"/>
      <x:c r="V98" s="363" t="str"/>
      <x:c r="W98" s="363" t="str"/>
      <x:c r="X98" s="363" t="str"/>
      <x:c r="Y98" s="363" t="str"/>
      <x:c r="Z98" s="363" t="str"/>
      <x:c r="AA98" s="363" t="str"/>
      <x:c r="AB98" s="363" t="str"/>
      <x:c r="AC98"/>
      <x:c r="AD98"/>
      <x:c r="AE98"/>
      <x:c r="AF98"/>
      <x:c r="AG98"/>
    </x:row>
    <x:row r="99" ht="32.400001525878906" hidden="0" customHeight="1">
      <x:c r="A99" s="377" t="str">
        <x:v>2026-W32</x:v>
      </x:c>
      <x:c r="B99" s="377" t="n">
        <x:v>46243</x:v>
      </x:c>
      <x:c r="C99" s="377" t="str">
        <x:v>MM5-4</x:v>
      </x:c>
      <x:c r="D99" s="377" t="str">
        <x:v>Acquisition</x:v>
      </x:c>
      <x:c r="E99" s="377" t="str">
        <x:v>Onboarding</x:v>
      </x:c>
      <x:c r="F99" s="377" t="str">
        <x:v>UAT</x:v>
      </x:c>
      <x:c r="G99" s="377" t="str">
        <x:v>AVRO</x:v>
      </x:c>
      <x:c r="H99" s="377" t="str">
        <x:v>Livré</x:v>
      </x:c>
      <x:c r="I99" s="377" t="str">
        <x:v>v0.1.1 / v1.5.1 / v1.5.0</x:v>
      </x:c>
      <x:c r="J99" s="377" t="n">
        <x:v>1</x:v>
      </x:c>
      <x:c r="K99" s="377" t="str">
        <x:v>Versions livrées consolidées sur une seule ligne</x:v>
      </x:c>
      <x:c r="L99" s="377" t="str">
        <x:v>Réel</x:v>
      </x:c>
      <x:c r="M99" s="377" t="str">
        <x:v>fichier suivi.txt</x:v>
      </x:c>
      <x:c r="N99" s="377" t="str">
        <x:v>Reporting AVRO Acquisition UAT</x:v>
      </x:c>
      <x:c r="O99" s="377" t="str">
        <x:v>Sprint 21</x:v>
      </x:c>
      <x:c r="P99" s="377" t="str">
        <x:v>Semaine 2</x:v>
      </x:c>
      <x:c r="Q99" s="377" t="str">
        <x:v>Prêt</x:v>
      </x:c>
      <x:c r="R99" s="377" t="str">
        <x:v>OK</x:v>
      </x:c>
      <x:c r="S99" s="363" t="str"/>
      <x:c r="T99" s="363" t="str"/>
      <x:c r="U99" s="363" t="str"/>
      <x:c r="V99" s="363" t="str"/>
      <x:c r="W99" s="363" t="str"/>
      <x:c r="X99" s="363" t="str"/>
      <x:c r="Y99" s="363" t="str"/>
      <x:c r="Z99" s="363" t="str"/>
      <x:c r="AA99" s="363" t="str"/>
      <x:c r="AB99" s="363" t="str"/>
      <x:c r="AC99"/>
      <x:c r="AD99"/>
      <x:c r="AE99"/>
      <x:c r="AF99"/>
      <x:c r="AG99"/>
    </x:row>
    <x:row r="100" ht="32.400001525878906" hidden="0" customHeight="1">
      <x:c r="A100" s="377" t="str">
        <x:v>2026-W32</x:v>
      </x:c>
      <x:c r="B100" s="377" t="n">
        <x:v>46243</x:v>
      </x:c>
      <x:c r="C100" s="377" t="str">
        <x:v>MM5-5</x:v>
      </x:c>
      <x:c r="D100" s="377" t="str">
        <x:v>Acquisition</x:v>
      </x:c>
      <x:c r="E100" s="377" t="str">
        <x:v>Onboarding</x:v>
      </x:c>
      <x:c r="F100" s="377" t="str">
        <x:v>UAT</x:v>
      </x:c>
      <x:c r="G100" s="377" t="str">
        <x:v>AVRO</x:v>
      </x:c>
      <x:c r="H100" s="377" t="str">
        <x:v>Livré</x:v>
      </x:c>
      <x:c r="I100" s="377" t="str">
        <x:v>v0.1.1 / v1.5.1 / v1.5.0</x:v>
      </x:c>
      <x:c r="J100" s="377" t="n">
        <x:v>1</x:v>
      </x:c>
      <x:c r="K100" s="377" t="str">
        <x:v>Versions livrées consolidées sur une seule ligne</x:v>
      </x:c>
      <x:c r="L100" s="377" t="str">
        <x:v>Réel</x:v>
      </x:c>
      <x:c r="M100" s="377" t="str">
        <x:v>fichier suivi.txt</x:v>
      </x:c>
      <x:c r="N100" s="377" t="str">
        <x:v>Reporting AVRO Acquisition UAT</x:v>
      </x:c>
      <x:c r="O100" s="377" t="str">
        <x:v>Sprint 21</x:v>
      </x:c>
      <x:c r="P100" s="377" t="str">
        <x:v>Semaine 2</x:v>
      </x:c>
      <x:c r="Q100" s="377" t="str">
        <x:v>Prêt</x:v>
      </x:c>
      <x:c r="R100" s="377" t="str">
        <x:v>OK</x:v>
      </x:c>
      <x:c r="S100" s="363" t="str"/>
      <x:c r="T100" s="363" t="str"/>
      <x:c r="U100" s="363" t="str"/>
      <x:c r="V100" s="363" t="str"/>
      <x:c r="W100" s="363" t="str"/>
      <x:c r="X100" s="363" t="str"/>
      <x:c r="Y100" s="363" t="str"/>
      <x:c r="Z100" s="363" t="str"/>
      <x:c r="AA100" s="363" t="str"/>
      <x:c r="AB100" s="363" t="str"/>
      <x:c r="AC100"/>
      <x:c r="AD100"/>
      <x:c r="AE100"/>
      <x:c r="AF100"/>
      <x:c r="AG100"/>
    </x:row>
    <x:row r="101" ht="21.600000381469727" hidden="0" customHeight="1">
      <x:c r="A101" s="377" t="str">
        <x:v>2026-W32</x:v>
      </x:c>
      <x:c r="B101" s="377" t="n">
        <x:v>46243</x:v>
      </x:c>
      <x:c r="C101" s="377" t="str">
        <x:v>MM7</x:v>
      </x:c>
      <x:c r="D101" s="377" t="str">
        <x:v>Acquisition</x:v>
      </x:c>
      <x:c r="E101" s="377" t="str">
        <x:v>Onboarding</x:v>
      </x:c>
      <x:c r="F101" s="377" t="str">
        <x:v>UAT</x:v>
      </x:c>
      <x:c r="G101" s="377" t="str">
        <x:v>AVRO</x:v>
      </x:c>
      <x:c r="H101" s="377" t="str">
        <x:v>En cours</x:v>
      </x:c>
      <x:c r="I101" s="377" t="str">
        <x:v>v0.1.1 / v1.5.1 / v1.5</x:v>
      </x:c>
      <x:c r="J101" s="377" t="n">
        <x:v>1</x:v>
      </x:c>
      <x:c r="K101" s="377"/>
      <x:c r="L101" s="377" t="str">
        <x:v>Réel</x:v>
      </x:c>
      <x:c r="M101" s="377" t="str">
        <x:v>fichier suivi.txt</x:v>
      </x:c>
      <x:c r="N101" s="377" t="str">
        <x:v>Reporting AVRO Acquisition UAT</x:v>
      </x:c>
      <x:c r="O101" s="377" t="str">
        <x:v>Sprint 21</x:v>
      </x:c>
      <x:c r="P101" s="377" t="str">
        <x:v>Semaine 2</x:v>
      </x:c>
      <x:c r="Q101" s="377" t="str">
        <x:v>En cours</x:v>
      </x:c>
      <x:c r="R101" s="377" t="str">
        <x:v>En cours</x:v>
      </x:c>
      <x:c r="S101" s="363" t="str"/>
      <x:c r="T101" s="363" t="str"/>
      <x:c r="U101" s="363" t="str"/>
      <x:c r="V101" s="363" t="str"/>
      <x:c r="W101" s="363" t="str"/>
      <x:c r="X101" s="363" t="str"/>
      <x:c r="Y101" s="363" t="str"/>
      <x:c r="Z101" s="363" t="str"/>
      <x:c r="AA101" s="363" t="str"/>
      <x:c r="AB101" s="363" t="str"/>
      <x:c r="AC101"/>
      <x:c r="AD101"/>
      <x:c r="AE101"/>
      <x:c r="AF101"/>
      <x:c r="AG101"/>
    </x:row>
    <x:row r="102" ht="21.600000381469727" hidden="0" customHeight="1">
      <x:c r="A102" s="377" t="str">
        <x:v>2026-W32</x:v>
      </x:c>
      <x:c r="B102" s="377" t="n">
        <x:v>46243</x:v>
      </x:c>
      <x:c r="C102" s="377" t="str">
        <x:v>OA5-2</x:v>
      </x:c>
      <x:c r="D102" s="377" t="str">
        <x:v>Acquisition</x:v>
      </x:c>
      <x:c r="E102" s="377" t="str">
        <x:v>Authorize</x:v>
      </x:c>
      <x:c r="F102" s="377" t="str">
        <x:v>UAT</x:v>
      </x:c>
      <x:c r="G102" s="377" t="str">
        <x:v>AVRO</x:v>
      </x:c>
      <x:c r="H102" s="377" t="str">
        <x:v>Livré</x:v>
      </x:c>
      <x:c r="I102" s="377" t="str">
        <x:v>v1.14</x:v>
      </x:c>
      <x:c r="J102" s="377" t="n">
        <x:v>1</x:v>
      </x:c>
      <x:c r="K102" s="377"/>
      <x:c r="L102" s="377" t="str">
        <x:v>Réel</x:v>
      </x:c>
      <x:c r="M102" s="377" t="str">
        <x:v>fichier suivi.txt</x:v>
      </x:c>
      <x:c r="N102" s="377" t="str">
        <x:v>Reporting AVRO Acquisition UAT</x:v>
      </x:c>
      <x:c r="O102" s="377" t="str">
        <x:v>Sprint 21</x:v>
      </x:c>
      <x:c r="P102" s="377" t="str">
        <x:v>Semaine 2</x:v>
      </x:c>
      <x:c r="Q102" s="377" t="str">
        <x:v>Prêt</x:v>
      </x:c>
      <x:c r="R102" s="377" t="str">
        <x:v>OK</x:v>
      </x:c>
      <x:c r="S102" s="363" t="str"/>
      <x:c r="T102" s="363" t="str"/>
      <x:c r="U102" s="363" t="str"/>
      <x:c r="V102" s="363" t="str"/>
      <x:c r="W102" s="363" t="str"/>
      <x:c r="X102" s="363" t="str"/>
      <x:c r="Y102" s="363" t="str"/>
      <x:c r="Z102" s="363" t="str"/>
      <x:c r="AA102" s="363" t="str"/>
      <x:c r="AB102" s="363" t="str"/>
      <x:c r="AC102"/>
      <x:c r="AD102"/>
      <x:c r="AE102"/>
      <x:c r="AF102"/>
      <x:c r="AG102"/>
    </x:row>
    <x:row r="103" ht="21.600000381469727" hidden="0" customHeight="1">
      <x:c r="A103" s="377" t="str">
        <x:v>2026-W32</x:v>
      </x:c>
      <x:c r="B103" s="377" t="n">
        <x:v>46243</x:v>
      </x:c>
      <x:c r="C103" s="377" t="str">
        <x:v>PC06-2</x:v>
      </x:c>
      <x:c r="D103" s="377" t="str">
        <x:v>Acquisition</x:v>
      </x:c>
      <x:c r="E103" s="377" t="str">
        <x:v>Crédit commerçant</x:v>
      </x:c>
      <x:c r="F103" s="377" t="str">
        <x:v>UAT</x:v>
      </x:c>
      <x:c r="G103" s="377" t="str">
        <x:v>AVRO</x:v>
      </x:c>
      <x:c r="H103" s="377" t="str">
        <x:v>Livré</x:v>
      </x:c>
      <x:c r="I103" s="377" t="str">
        <x:v>v1.10.0</x:v>
      </x:c>
      <x:c r="J103" s="377" t="n">
        <x:v>1</x:v>
      </x:c>
      <x:c r="K103" s="377"/>
      <x:c r="L103" s="377" t="str">
        <x:v>Réel</x:v>
      </x:c>
      <x:c r="M103" s="377" t="str">
        <x:v>fichier suivi.txt</x:v>
      </x:c>
      <x:c r="N103" s="377" t="str">
        <x:v>Reporting AVRO Acquisition UAT</x:v>
      </x:c>
      <x:c r="O103" s="377" t="str">
        <x:v>Sprint 21</x:v>
      </x:c>
      <x:c r="P103" s="377" t="str">
        <x:v>Semaine 2</x:v>
      </x:c>
      <x:c r="Q103" s="377" t="str">
        <x:v>Prêt</x:v>
      </x:c>
      <x:c r="R103" s="377" t="str">
        <x:v>OK</x:v>
      </x:c>
      <x:c r="S103" s="363" t="str"/>
      <x:c r="T103" s="363" t="str"/>
      <x:c r="U103" s="363" t="str"/>
      <x:c r="V103" s="363" t="str"/>
      <x:c r="W103" s="363" t="str"/>
      <x:c r="X103" s="363" t="str"/>
      <x:c r="Y103" s="363" t="str"/>
      <x:c r="Z103" s="363" t="str"/>
      <x:c r="AA103" s="363" t="str"/>
      <x:c r="AB103" s="363" t="str"/>
      <x:c r="AC103"/>
      <x:c r="AD103"/>
      <x:c r="AE103"/>
      <x:c r="AF103"/>
      <x:c r="AG103"/>
    </x:row>
    <x:row r="104" ht="21.600000381469727" hidden="0" customHeight="1">
      <x:c r="A104" s="377" t="str">
        <x:v>2026-W32</x:v>
      </x:c>
      <x:c r="B104" s="377" t="n">
        <x:v>46243</x:v>
      </x:c>
      <x:c r="C104" s="377" t="str">
        <x:v>PC07</x:v>
      </x:c>
      <x:c r="D104" s="377" t="str">
        <x:v>Acquisition</x:v>
      </x:c>
      <x:c r="E104" s="377" t="str">
        <x:v>Crédit commerçant</x:v>
      </x:c>
      <x:c r="F104" s="377" t="str">
        <x:v>UAT</x:v>
      </x:c>
      <x:c r="G104" s="377" t="str">
        <x:v>AVRO</x:v>
      </x:c>
      <x:c r="H104" s="377" t="str">
        <x:v>Livré</x:v>
      </x:c>
      <x:c r="I104" s="377" t="str">
        <x:v>v1.10.0</x:v>
      </x:c>
      <x:c r="J104" s="377" t="n">
        <x:v>1</x:v>
      </x:c>
      <x:c r="K104" s="377"/>
      <x:c r="L104" s="377" t="str">
        <x:v>Réel</x:v>
      </x:c>
      <x:c r="M104" s="377" t="str">
        <x:v>fichier suivi.txt</x:v>
      </x:c>
      <x:c r="N104" s="377" t="str">
        <x:v>Reporting AVRO Acquisition UAT</x:v>
      </x:c>
      <x:c r="O104" s="377" t="str">
        <x:v>Sprint 21</x:v>
      </x:c>
      <x:c r="P104" s="377" t="str">
        <x:v>Semaine 2</x:v>
      </x:c>
      <x:c r="Q104" s="377" t="str">
        <x:v>Prêt</x:v>
      </x:c>
      <x:c r="R104" s="377" t="str">
        <x:v>OK</x:v>
      </x:c>
      <x:c r="S104" s="363" t="str"/>
      <x:c r="T104" s="363" t="str"/>
      <x:c r="U104" s="363" t="str"/>
      <x:c r="V104" s="363" t="str"/>
      <x:c r="W104" s="363" t="str"/>
      <x:c r="X104" s="363" t="str"/>
      <x:c r="Y104" s="363" t="str"/>
      <x:c r="Z104" s="363" t="str"/>
      <x:c r="AA104" s="363" t="str"/>
      <x:c r="AB104" s="363" t="str"/>
      <x:c r="AC104"/>
      <x:c r="AD104"/>
      <x:c r="AE104"/>
      <x:c r="AF104"/>
      <x:c r="AG104"/>
    </x:row>
    <x:row r="105" ht="21.600000381469727" hidden="0" customHeight="1">
      <x:c r="A105" s="377" t="str">
        <x:v>2026-W32</x:v>
      </x:c>
      <x:c r="B105" s="377" t="n">
        <x:v>46243</x:v>
      </x:c>
      <x:c r="C105" s="377" t="str">
        <x:v>CMS4_001</x:v>
      </x:c>
      <x:c r="D105" s="377" t="str">
        <x:v>Issuing</x:v>
      </x:c>
      <x:c r="E105" s="377" t="str">
        <x:v>Onboarding</x:v>
      </x:c>
      <x:c r="F105" s="377" t="str">
        <x:v>UAT</x:v>
      </x:c>
      <x:c r="G105" s="377" t="str">
        <x:v>Configuration</x:v>
      </x:c>
      <x:c r="H105" s="377" t="str">
        <x:v>Livré</x:v>
      </x:c>
      <x:c r="I105" s="377" t="str">
        <x:v>v2.9</x:v>
      </x:c>
      <x:c r="J105" s="377" t="n">
        <x:v>1</x:v>
      </x:c>
      <x:c r="K105" s="377"/>
      <x:c r="L105" s="377" t="str">
        <x:v>Réel</x:v>
      </x:c>
      <x:c r="M105" s="377" t="str">
        <x:v>fichier suivi.txt</x:v>
      </x:c>
      <x:c r="N105" s="377" t="str">
        <x:v>Reporting AVRO Issuing UAT</x:v>
      </x:c>
      <x:c r="O105" s="377" t="str">
        <x:v>Sprint 21</x:v>
      </x:c>
      <x:c r="P105" s="377" t="str">
        <x:v>Semaine 2</x:v>
      </x:c>
      <x:c r="Q105" s="377" t="str">
        <x:v>Prêt</x:v>
      </x:c>
      <x:c r="R105" s="377" t="str">
        <x:v>OK</x:v>
      </x:c>
      <x:c r="S105" s="363" t="str"/>
      <x:c r="T105" s="363" t="str"/>
      <x:c r="U105" s="363" t="str"/>
      <x:c r="V105" s="363" t="str"/>
      <x:c r="W105" s="363" t="str"/>
      <x:c r="X105" s="363" t="str"/>
      <x:c r="Y105" s="363" t="str"/>
      <x:c r="Z105" s="363" t="str"/>
      <x:c r="AA105" s="363" t="str"/>
      <x:c r="AB105" s="363" t="str"/>
      <x:c r="AC105"/>
      <x:c r="AD105"/>
      <x:c r="AE105"/>
      <x:c r="AF105"/>
      <x:c r="AG105"/>
    </x:row>
    <x:row r="106" ht="21.600000381469727" hidden="0" customHeight="1">
      <x:c r="A106" s="377" t="str">
        <x:v>2026-W32</x:v>
      </x:c>
      <x:c r="B106" s="377" t="n">
        <x:v>46243</x:v>
      </x:c>
      <x:c r="C106" s="377" t="str">
        <x:v>CMS14_001</x:v>
      </x:c>
      <x:c r="D106" s="377" t="str">
        <x:v>Issuing</x:v>
      </x:c>
      <x:c r="E106" s="377" t="str">
        <x:v>Onboarding</x:v>
      </x:c>
      <x:c r="F106" s="377" t="str">
        <x:v>UAT</x:v>
      </x:c>
      <x:c r="G106" s="377" t="str">
        <x:v>AVRO</x:v>
      </x:c>
      <x:c r="H106" s="377" t="str">
        <x:v>Livré</x:v>
      </x:c>
      <x:c r="I106" s="377" t="str">
        <x:v>v1.5</x:v>
      </x:c>
      <x:c r="J106" s="377" t="n">
        <x:v>1</x:v>
      </x:c>
      <x:c r="K106" s="377"/>
      <x:c r="L106" s="377" t="str">
        <x:v>Réel</x:v>
      </x:c>
      <x:c r="M106" s="377" t="str">
        <x:v>fichier suivi.txt</x:v>
      </x:c>
      <x:c r="N106" s="377" t="str">
        <x:v>Reporting AVRO Issuing UAT</x:v>
      </x:c>
      <x:c r="O106" s="377" t="str">
        <x:v>Sprint 21</x:v>
      </x:c>
      <x:c r="P106" s="377" t="str">
        <x:v>Semaine 2</x:v>
      </x:c>
      <x:c r="Q106" s="377" t="str">
        <x:v>Prêt</x:v>
      </x:c>
      <x:c r="R106" s="377" t="str">
        <x:v>OK</x:v>
      </x:c>
      <x:c r="S106" s="363" t="str"/>
      <x:c r="T106" s="363" t="str"/>
      <x:c r="U106" s="363" t="str"/>
      <x:c r="V106" s="363" t="str"/>
      <x:c r="W106" s="363" t="str"/>
      <x:c r="X106" s="363" t="str"/>
      <x:c r="Y106" s="363" t="str"/>
      <x:c r="Z106" s="363" t="str"/>
      <x:c r="AA106" s="363" t="str"/>
      <x:c r="AB106" s="363" t="str"/>
      <x:c r="AC106"/>
      <x:c r="AD106"/>
      <x:c r="AE106"/>
      <x:c r="AF106"/>
      <x:c r="AG106"/>
    </x:row>
    <x:row r="107" ht="21.600000381469727" hidden="0" customHeight="1">
      <x:c r="A107" s="377" t="str">
        <x:v>2026-W32</x:v>
      </x:c>
      <x:c r="B107" s="377" t="n">
        <x:v>46243</x:v>
      </x:c>
      <x:c r="C107" s="377" t="str">
        <x:v>CMS14_002</x:v>
      </x:c>
      <x:c r="D107" s="377" t="str">
        <x:v>Issuing</x:v>
      </x:c>
      <x:c r="E107" s="377" t="str">
        <x:v>Onboarding</x:v>
      </x:c>
      <x:c r="F107" s="377" t="str">
        <x:v>UAT</x:v>
      </x:c>
      <x:c r="G107" s="377" t="str">
        <x:v>AVRO</x:v>
      </x:c>
      <x:c r="H107" s="377" t="str">
        <x:v>Livré</x:v>
      </x:c>
      <x:c r="I107" s="377" t="str">
        <x:v>v1.5</x:v>
      </x:c>
      <x:c r="J107" s="377" t="n">
        <x:v>1</x:v>
      </x:c>
      <x:c r="K107" s="377"/>
      <x:c r="L107" s="377" t="str">
        <x:v>Réel</x:v>
      </x:c>
      <x:c r="M107" s="377" t="str">
        <x:v>fichier suivi.txt</x:v>
      </x:c>
      <x:c r="N107" s="377" t="str">
        <x:v>Reporting AVRO Issuing UAT</x:v>
      </x:c>
      <x:c r="O107" s="377" t="str">
        <x:v>Sprint 21</x:v>
      </x:c>
      <x:c r="P107" s="377" t="str">
        <x:v>Semaine 2</x:v>
      </x:c>
      <x:c r="Q107" s="377" t="str">
        <x:v>Prêt</x:v>
      </x:c>
      <x:c r="R107" s="377" t="str">
        <x:v>OK</x:v>
      </x:c>
      <x:c r="S107" s="363" t="str"/>
      <x:c r="T107" s="363" t="str"/>
      <x:c r="U107" s="363" t="str"/>
      <x:c r="V107" s="363" t="str"/>
      <x:c r="W107" s="363" t="str"/>
      <x:c r="X107" s="363" t="str"/>
      <x:c r="Y107" s="363" t="str"/>
      <x:c r="Z107" s="363" t="str"/>
      <x:c r="AA107" s="363" t="str"/>
      <x:c r="AB107" s="363" t="str"/>
      <x:c r="AC107"/>
      <x:c r="AD107"/>
      <x:c r="AE107"/>
      <x:c r="AF107"/>
      <x:c r="AG107"/>
    </x:row>
    <x:row r="108" ht="21.600000381469727" hidden="0" customHeight="1">
      <x:c r="A108" s="377" t="str">
        <x:v>2026-W32</x:v>
      </x:c>
      <x:c r="B108" s="377" t="n">
        <x:v>46243</x:v>
      </x:c>
      <x:c r="C108" s="377" t="str">
        <x:v>CMS20_001</x:v>
      </x:c>
      <x:c r="D108" s="377" t="str">
        <x:v>Issuing</x:v>
      </x:c>
      <x:c r="E108" s="377" t="str">
        <x:v>Onboarding</x:v>
      </x:c>
      <x:c r="F108" s="377" t="str">
        <x:v>UAT</x:v>
      </x:c>
      <x:c r="G108" s="377" t="str">
        <x:v>AVRO</x:v>
      </x:c>
      <x:c r="H108" s="377" t="str">
        <x:v>Livré</x:v>
      </x:c>
      <x:c r="I108" s="377" t="str">
        <x:v>v1.3.0</x:v>
      </x:c>
      <x:c r="J108" s="377" t="n">
        <x:v>1</x:v>
      </x:c>
      <x:c r="K108" s="377"/>
      <x:c r="L108" s="377" t="str">
        <x:v>Réel</x:v>
      </x:c>
      <x:c r="M108" s="377" t="str">
        <x:v>fichier suivi.txt</x:v>
      </x:c>
      <x:c r="N108" s="377" t="str">
        <x:v>Reporting AVRO Issuing UAT</x:v>
      </x:c>
      <x:c r="O108" s="377" t="str">
        <x:v>Sprint 21</x:v>
      </x:c>
      <x:c r="P108" s="377" t="str">
        <x:v>Semaine 2</x:v>
      </x:c>
      <x:c r="Q108" s="377" t="str">
        <x:v>Prêt</x:v>
      </x:c>
      <x:c r="R108" s="377" t="str">
        <x:v>OK</x:v>
      </x:c>
      <x:c r="S108" s="363" t="str"/>
      <x:c r="T108" s="363" t="str"/>
      <x:c r="U108" s="363" t="str"/>
      <x:c r="V108" s="363" t="str"/>
      <x:c r="W108" s="363" t="str"/>
      <x:c r="X108" s="363" t="str"/>
      <x:c r="Y108" s="363" t="str"/>
      <x:c r="Z108" s="363" t="str"/>
      <x:c r="AA108" s="363" t="str"/>
      <x:c r="AB108" s="363" t="str"/>
      <x:c r="AC108"/>
      <x:c r="AD108"/>
      <x:c r="AE108"/>
      <x:c r="AF108"/>
      <x:c r="AG108"/>
    </x:row>
    <x:row r="109" ht="21.600000381469727" hidden="0" customHeight="1">
      <x:c r="A109" s="377" t="str">
        <x:v>2026-W32</x:v>
      </x:c>
      <x:c r="B109" s="377" t="n">
        <x:v>46243</x:v>
      </x:c>
      <x:c r="C109" s="377" t="str">
        <x:v>CMS37_001</x:v>
      </x:c>
      <x:c r="D109" s="377" t="str">
        <x:v>Issuing</x:v>
      </x:c>
      <x:c r="E109" s="377" t="str">
        <x:v>Onboarding</x:v>
      </x:c>
      <x:c r="F109" s="377" t="str">
        <x:v>UAT</x:v>
      </x:c>
      <x:c r="G109" s="377" t="str">
        <x:v>AVRO</x:v>
      </x:c>
      <x:c r="H109" s="377" t="str">
        <x:v>Livré</x:v>
      </x:c>
      <x:c r="I109" s="377" t="str">
        <x:v>v1.3.0</x:v>
      </x:c>
      <x:c r="J109" s="377" t="n">
        <x:v>1</x:v>
      </x:c>
      <x:c r="K109" s="377"/>
      <x:c r="L109" s="377" t="str">
        <x:v>Réel</x:v>
      </x:c>
      <x:c r="M109" s="377" t="str">
        <x:v>fichier suivi.txt</x:v>
      </x:c>
      <x:c r="N109" s="377" t="str">
        <x:v>Reporting AVRO Issuing UAT</x:v>
      </x:c>
      <x:c r="O109" s="377" t="str">
        <x:v>Sprint 21</x:v>
      </x:c>
      <x:c r="P109" s="377" t="str">
        <x:v>Semaine 2</x:v>
      </x:c>
      <x:c r="Q109" s="377" t="str">
        <x:v>Prêt</x:v>
      </x:c>
      <x:c r="R109" s="377" t="str">
        <x:v>OK</x:v>
      </x:c>
      <x:c r="S109" s="363" t="str"/>
      <x:c r="T109" s="363" t="str"/>
      <x:c r="U109" s="363" t="str"/>
      <x:c r="V109" s="363" t="str"/>
      <x:c r="W109" s="363" t="str"/>
      <x:c r="X109" s="363" t="str"/>
      <x:c r="Y109" s="363" t="str"/>
      <x:c r="Z109" s="363" t="str"/>
      <x:c r="AA109" s="363" t="str"/>
      <x:c r="AB109" s="363" t="str"/>
      <x:c r="AC109"/>
      <x:c r="AD109"/>
      <x:c r="AE109"/>
      <x:c r="AF109"/>
      <x:c r="AG109"/>
    </x:row>
    <x:row r="110" ht="21.600000381469727" hidden="0" customHeight="1">
      <x:c r="A110" s="377" t="str">
        <x:v>2026-W32</x:v>
      </x:c>
      <x:c r="B110" s="377" t="n">
        <x:v>46243</x:v>
      </x:c>
      <x:c r="C110" s="377" t="str">
        <x:v>CMS22</x:v>
      </x:c>
      <x:c r="D110" s="377" t="str">
        <x:v>Issuing</x:v>
      </x:c>
      <x:c r="E110" s="377" t="str">
        <x:v>Onboarding</x:v>
      </x:c>
      <x:c r="F110" s="377" t="str">
        <x:v>UAT</x:v>
      </x:c>
      <x:c r="G110" s="377" t="str">
        <x:v>AVRO</x:v>
      </x:c>
      <x:c r="H110" s="377" t="str">
        <x:v>Livré</x:v>
      </x:c>
      <x:c r="I110" s="377" t="str">
        <x:v>v1.2</x:v>
      </x:c>
      <x:c r="J110" s="377" t="n">
        <x:v>1</x:v>
      </x:c>
      <x:c r="K110" s="377"/>
      <x:c r="L110" s="377" t="str">
        <x:v>Réel</x:v>
      </x:c>
      <x:c r="M110" s="377" t="str">
        <x:v>fichier suivi.txt</x:v>
      </x:c>
      <x:c r="N110" s="377" t="str">
        <x:v>Reporting AVRO Issuing UAT</x:v>
      </x:c>
      <x:c r="O110" s="377" t="str">
        <x:v>Sprint 21</x:v>
      </x:c>
      <x:c r="P110" s="377" t="str">
        <x:v>Semaine 2</x:v>
      </x:c>
      <x:c r="Q110" s="377" t="str">
        <x:v>Prêt</x:v>
      </x:c>
      <x:c r="R110" s="377" t="str">
        <x:v>OK</x:v>
      </x:c>
      <x:c r="S110" s="363" t="str"/>
      <x:c r="T110" s="363" t="str"/>
      <x:c r="U110" s="363" t="str"/>
      <x:c r="V110" s="363" t="str"/>
      <x:c r="W110" s="363" t="str"/>
      <x:c r="X110" s="363" t="str"/>
      <x:c r="Y110" s="363" t="str"/>
      <x:c r="Z110" s="363" t="str"/>
      <x:c r="AA110" s="363" t="str"/>
      <x:c r="AB110" s="363" t="str"/>
      <x:c r="AC110"/>
      <x:c r="AD110"/>
      <x:c r="AE110"/>
      <x:c r="AF110"/>
      <x:c r="AG110"/>
    </x:row>
    <x:row r="111" ht="21.600000381469727" hidden="0" customHeight="1">
      <x:c r="A111" s="377" t="str">
        <x:v>2026-W32</x:v>
      </x:c>
      <x:c r="B111" s="377" t="n">
        <x:v>46243</x:v>
      </x:c>
      <x:c r="C111" s="377" t="str">
        <x:v>CMS14_003</x:v>
      </x:c>
      <x:c r="D111" s="377" t="str">
        <x:v>Issuing</x:v>
      </x:c>
      <x:c r="E111" s="377" t="str">
        <x:v>Onboarding</x:v>
      </x:c>
      <x:c r="F111" s="377" t="str">
        <x:v>UAT</x:v>
      </x:c>
      <x:c r="G111" s="377" t="str">
        <x:v>AVRO</x:v>
      </x:c>
      <x:c r="H111" s="377" t="str">
        <x:v>À traiter</x:v>
      </x:c>
      <x:c r="I111" s="377" t="str">
        <x:v>v1.5</x:v>
      </x:c>
      <x:c r="J111" s="377" t="n">
        <x:v>1</x:v>
      </x:c>
      <x:c r="K111" s="377"/>
      <x:c r="L111" s="377" t="str">
        <x:v>Réel</x:v>
      </x:c>
      <x:c r="M111" s="377" t="str">
        <x:v>fichier suivi.txt</x:v>
      </x:c>
      <x:c r="N111" s="377" t="str">
        <x:v>Reporting AVRO Issuing UAT</x:v>
      </x:c>
      <x:c r="O111" s="377" t="str">
        <x:v>Sprint 21</x:v>
      </x:c>
      <x:c r="P111" s="377" t="str">
        <x:v>Semaine 2</x:v>
      </x:c>
      <x:c r="Q111" s="377" t="str">
        <x:v>Non prêt</x:v>
      </x:c>
      <x:c r="R111" s="377" t="str">
        <x:v>KO</x:v>
      </x:c>
      <x:c r="S111" s="363" t="str"/>
      <x:c r="T111" s="363" t="str"/>
      <x:c r="U111" s="363" t="str"/>
      <x:c r="V111" s="363" t="str"/>
      <x:c r="W111" s="363" t="str"/>
      <x:c r="X111" s="363" t="str"/>
      <x:c r="Y111" s="363" t="str"/>
      <x:c r="Z111" s="363" t="str"/>
      <x:c r="AA111" s="363" t="str"/>
      <x:c r="AB111" s="363" t="str"/>
      <x:c r="AC111"/>
      <x:c r="AD111"/>
      <x:c r="AE111"/>
      <x:c r="AF111"/>
      <x:c r="AG111"/>
    </x:row>
    <x:row r="112" ht="21.600000381469727" hidden="0" customHeight="1">
      <x:c r="A112" s="377" t="str">
        <x:v>2026-W32</x:v>
      </x:c>
      <x:c r="B112" s="377" t="n">
        <x:v>46243</x:v>
      </x:c>
      <x:c r="C112" s="377" t="str">
        <x:v>OA3_002</x:v>
      </x:c>
      <x:c r="D112" s="377" t="str">
        <x:v>Issuing</x:v>
      </x:c>
      <x:c r="E112" s="377" t="str">
        <x:v>Authorize / Paiement</x:v>
      </x:c>
      <x:c r="F112" s="377" t="str">
        <x:v>UAT</x:v>
      </x:c>
      <x:c r="G112" s="377" t="str">
        <x:v>AVRO</x:v>
      </x:c>
      <x:c r="H112" s="377" t="str">
        <x:v>Livré</x:v>
      </x:c>
      <x:c r="I112" s="377" t="str">
        <x:v>v1.3.0</x:v>
      </x:c>
      <x:c r="J112" s="377" t="n">
        <x:v>1</x:v>
      </x:c>
      <x:c r="K112" s="377"/>
      <x:c r="L112" s="377" t="str">
        <x:v>Réel</x:v>
      </x:c>
      <x:c r="M112" s="377" t="str">
        <x:v>fichier suivi.txt</x:v>
      </x:c>
      <x:c r="N112" s="377" t="str">
        <x:v>Reporting AVRO Issuing UAT</x:v>
      </x:c>
      <x:c r="O112" s="377" t="str">
        <x:v>Sprint 21</x:v>
      </x:c>
      <x:c r="P112" s="377" t="str">
        <x:v>Semaine 2</x:v>
      </x:c>
      <x:c r="Q112" s="377" t="str">
        <x:v>Prêt</x:v>
      </x:c>
      <x:c r="R112" s="377" t="str">
        <x:v>OK</x:v>
      </x:c>
      <x:c r="S112" s="363" t="str"/>
      <x:c r="T112" s="363" t="str"/>
      <x:c r="U112" s="363" t="str"/>
      <x:c r="V112" s="363" t="str"/>
      <x:c r="W112" s="363" t="str"/>
      <x:c r="X112" s="363" t="str"/>
      <x:c r="Y112" s="363" t="str"/>
      <x:c r="Z112" s="363" t="str"/>
      <x:c r="AA112" s="363" t="str"/>
      <x:c r="AB112" s="363" t="str"/>
      <x:c r="AC112"/>
      <x:c r="AD112"/>
      <x:c r="AE112"/>
      <x:c r="AF112"/>
      <x:c r="AG112"/>
    </x:row>
    <x:row r="113" ht="21.600000381469727" hidden="0" customHeight="1">
      <x:c r="A113" s="377" t="str">
        <x:v>2026-W32</x:v>
      </x:c>
      <x:c r="B113" s="377" t="n">
        <x:v>46243</x:v>
      </x:c>
      <x:c r="C113" s="377" t="str">
        <x:v>CNT-EM6</x:v>
      </x:c>
      <x:c r="D113" s="377" t="str">
        <x:v>Issuing</x:v>
      </x:c>
      <x:c r="E113" s="377" t="str">
        <x:v>Contestation</x:v>
      </x:c>
      <x:c r="F113" s="377" t="str">
        <x:v>UAT</x:v>
      </x:c>
      <x:c r="G113" s="377" t="str">
        <x:v>AVRO</x:v>
      </x:c>
      <x:c r="H113" s="377" t="str">
        <x:v>Livré</x:v>
      </x:c>
      <x:c r="I113" s="377" t="str">
        <x:v>v1.7</x:v>
      </x:c>
      <x:c r="J113" s="377" t="n">
        <x:v>1</x:v>
      </x:c>
      <x:c r="K113" s="377"/>
      <x:c r="L113" s="377" t="str">
        <x:v>Réel</x:v>
      </x:c>
      <x:c r="M113" s="377" t="str">
        <x:v>fichier suivi.txt</x:v>
      </x:c>
      <x:c r="N113" s="377" t="str">
        <x:v>Reporting AVRO Issuing UAT</x:v>
      </x:c>
      <x:c r="O113" s="377" t="str">
        <x:v>Sprint 21</x:v>
      </x:c>
      <x:c r="P113" s="377" t="str">
        <x:v>Semaine 2</x:v>
      </x:c>
      <x:c r="Q113" s="377" t="str">
        <x:v>Prêt</x:v>
      </x:c>
      <x:c r="R113" s="377" t="str">
        <x:v>OK</x:v>
      </x:c>
      <x:c r="S113" s="363" t="str"/>
      <x:c r="T113" s="363" t="str"/>
      <x:c r="U113" s="363" t="str"/>
      <x:c r="V113" s="363" t="str"/>
      <x:c r="W113" s="363" t="str"/>
      <x:c r="X113" s="363" t="str"/>
      <x:c r="Y113" s="363" t="str"/>
      <x:c r="Z113" s="363" t="str"/>
      <x:c r="AA113" s="363" t="str"/>
      <x:c r="AB113" s="363" t="str"/>
      <x:c r="AC113"/>
      <x:c r="AD113"/>
      <x:c r="AE113"/>
      <x:c r="AF113"/>
      <x:c r="AG113"/>
    </x:row>
    <x:row r="114" ht="21.600000381469727" hidden="0" customHeight="1">
      <x:c r="A114" s="377" t="str">
        <x:v>2026-W32</x:v>
      </x:c>
      <x:c r="B114" s="377" t="n">
        <x:v>46243</x:v>
      </x:c>
      <x:c r="C114" s="377" t="str">
        <x:v>CNT-EM9</x:v>
      </x:c>
      <x:c r="D114" s="377" t="str">
        <x:v>Issuing</x:v>
      </x:c>
      <x:c r="E114" s="377" t="str">
        <x:v>Contestation</x:v>
      </x:c>
      <x:c r="F114" s="377" t="str">
        <x:v>UAT</x:v>
      </x:c>
      <x:c r="G114" s="377" t="str">
        <x:v>AVRO</x:v>
      </x:c>
      <x:c r="H114" s="377" t="str">
        <x:v>Livré</x:v>
      </x:c>
      <x:c r="I114" s="377" t="str">
        <x:v>v1.7</x:v>
      </x:c>
      <x:c r="J114" s="377" t="n">
        <x:v>1</x:v>
      </x:c>
      <x:c r="K114" s="377"/>
      <x:c r="L114" s="377" t="str">
        <x:v>Réel</x:v>
      </x:c>
      <x:c r="M114" s="377" t="str">
        <x:v>fichier suivi.txt</x:v>
      </x:c>
      <x:c r="N114" s="377" t="str">
        <x:v>Reporting AVRO Issuing UAT</x:v>
      </x:c>
      <x:c r="O114" s="377" t="str">
        <x:v>Sprint 21</x:v>
      </x:c>
      <x:c r="P114" s="377" t="str">
        <x:v>Semaine 2</x:v>
      </x:c>
      <x:c r="Q114" s="377" t="str">
        <x:v>Prêt</x:v>
      </x:c>
      <x:c r="R114" s="377" t="str">
        <x:v>OK</x:v>
      </x:c>
      <x:c r="S114" s="363" t="str"/>
      <x:c r="T114" s="363" t="str"/>
      <x:c r="U114" s="363" t="str"/>
      <x:c r="V114" s="363" t="str"/>
      <x:c r="W114" s="363" t="str"/>
      <x:c r="X114" s="363" t="str"/>
      <x:c r="Y114" s="363" t="str"/>
      <x:c r="Z114" s="363" t="str"/>
      <x:c r="AA114" s="363" t="str"/>
      <x:c r="AB114" s="363" t="str"/>
      <x:c r="AC114"/>
      <x:c r="AD114"/>
      <x:c r="AE114"/>
      <x:c r="AF114"/>
      <x:c r="AG114"/>
    </x:row>
    <x:row r="115" ht="21.600000381469727" hidden="0" customHeight="1">
      <x:c r="A115" s="377" t="str">
        <x:v>2026-W32</x:v>
      </x:c>
      <x:c r="B115" s="377" t="n">
        <x:v>46243</x:v>
      </x:c>
      <x:c r="C115" s="377" t="str">
        <x:v>CNT-EM15</x:v>
      </x:c>
      <x:c r="D115" s="377" t="str">
        <x:v>Issuing</x:v>
      </x:c>
      <x:c r="E115" s="377" t="str">
        <x:v>Contestation</x:v>
      </x:c>
      <x:c r="F115" s="377" t="str">
        <x:v>UAT</x:v>
      </x:c>
      <x:c r="G115" s="377" t="str">
        <x:v>AVRO</x:v>
      </x:c>
      <x:c r="H115" s="377" t="str">
        <x:v>Livré</x:v>
      </x:c>
      <x:c r="I115" s="377" t="str">
        <x:v>v1.7</x:v>
      </x:c>
      <x:c r="J115" s="377" t="n">
        <x:v>1</x:v>
      </x:c>
      <x:c r="K115" s="377"/>
      <x:c r="L115" s="377" t="str">
        <x:v>Réel</x:v>
      </x:c>
      <x:c r="M115" s="377" t="str">
        <x:v>fichier suivi.txt</x:v>
      </x:c>
      <x:c r="N115" s="377" t="str">
        <x:v>Reporting AVRO Issuing UAT</x:v>
      </x:c>
      <x:c r="O115" s="377" t="str">
        <x:v>Sprint 21</x:v>
      </x:c>
      <x:c r="P115" s="377" t="str">
        <x:v>Semaine 2</x:v>
      </x:c>
      <x:c r="Q115" s="377" t="str">
        <x:v>Prêt</x:v>
      </x:c>
      <x:c r="R115" s="377" t="str">
        <x:v>OK</x:v>
      </x:c>
      <x:c r="S115" s="363" t="str"/>
      <x:c r="T115" s="363" t="str"/>
      <x:c r="U115" s="363" t="str"/>
      <x:c r="V115" s="363" t="str"/>
      <x:c r="W115" s="363" t="str"/>
      <x:c r="X115" s="363" t="str"/>
      <x:c r="Y115" s="363" t="str"/>
      <x:c r="Z115" s="363" t="str"/>
      <x:c r="AA115" s="363" t="str"/>
      <x:c r="AB115" s="363" t="str"/>
      <x:c r="AC115"/>
      <x:c r="AD115"/>
      <x:c r="AE115"/>
      <x:c r="AF115"/>
      <x:c r="AG115"/>
    </x:row>
    <x:row r="116" ht="21.600000381469727" hidden="0" customHeight="1">
      <x:c r="A116" s="377" t="str">
        <x:v>2026-W32</x:v>
      </x:c>
      <x:c r="B116" s="377" t="n">
        <x:v>46243</x:v>
      </x:c>
      <x:c r="C116" s="377" t="str">
        <x:v>CNT-EM18</x:v>
      </x:c>
      <x:c r="D116" s="377" t="str">
        <x:v>Issuing</x:v>
      </x:c>
      <x:c r="E116" s="377" t="str">
        <x:v>Contestation</x:v>
      </x:c>
      <x:c r="F116" s="377" t="str">
        <x:v>UAT</x:v>
      </x:c>
      <x:c r="G116" s="377" t="str">
        <x:v>AVRO</x:v>
      </x:c>
      <x:c r="H116" s="377" t="str">
        <x:v>Livré</x:v>
      </x:c>
      <x:c r="I116" s="377" t="str">
        <x:v>v1.7</x:v>
      </x:c>
      <x:c r="J116" s="377" t="n">
        <x:v>1</x:v>
      </x:c>
      <x:c r="K116" s="377"/>
      <x:c r="L116" s="377" t="str">
        <x:v>Réel</x:v>
      </x:c>
      <x:c r="M116" s="377" t="str">
        <x:v>fichier suivi.txt</x:v>
      </x:c>
      <x:c r="N116" s="377" t="str">
        <x:v>Reporting AVRO Issuing UAT</x:v>
      </x:c>
      <x:c r="O116" s="377" t="str">
        <x:v>Sprint 21</x:v>
      </x:c>
      <x:c r="P116" s="377" t="str">
        <x:v>Semaine 2</x:v>
      </x:c>
      <x:c r="Q116" s="377" t="str">
        <x:v>Prêt</x:v>
      </x:c>
      <x:c r="R116" s="377" t="str">
        <x:v>OK</x:v>
      </x:c>
      <x:c r="S116" s="363" t="str"/>
      <x:c r="T116" s="363" t="str"/>
      <x:c r="U116" s="363" t="str"/>
      <x:c r="V116" s="363" t="str"/>
      <x:c r="W116" s="363" t="str"/>
      <x:c r="X116" s="363" t="str"/>
      <x:c r="Y116" s="363" t="str"/>
      <x:c r="Z116" s="363" t="str"/>
      <x:c r="AA116" s="363" t="str"/>
      <x:c r="AB116" s="363" t="str"/>
      <x:c r="AC116"/>
      <x:c r="AD116"/>
      <x:c r="AE116"/>
      <x:c r="AF116"/>
      <x:c r="AG116"/>
    </x:row>
    <x:row r="117" ht="21.600000381469727" hidden="0" customHeight="1">
      <x:c r="A117" s="377" t="str">
        <x:v>2026-W32</x:v>
      </x:c>
      <x:c r="B117" s="377" t="n">
        <x:v>46243</x:v>
      </x:c>
      <x:c r="C117" s="377" t="str">
        <x:v>DMS12-1</x:v>
      </x:c>
      <x:c r="D117" s="377" t="str">
        <x:v>Issuing</x:v>
      </x:c>
      <x:c r="E117" s="377" t="str">
        <x:v>GED</x:v>
      </x:c>
      <x:c r="F117" s="377" t="str">
        <x:v>UAT</x:v>
      </x:c>
      <x:c r="G117" s="377" t="str">
        <x:v>AVRO</x:v>
      </x:c>
      <x:c r="H117" s="377" t="str">
        <x:v>Livré</x:v>
      </x:c>
      <x:c r="I117" s="377"/>
      <x:c r="J117" s="377" t="n">
        <x:v>1</x:v>
      </x:c>
      <x:c r="K117" s="377"/>
      <x:c r="L117" s="377" t="str">
        <x:v>Réel</x:v>
      </x:c>
      <x:c r="M117" s="377" t="str">
        <x:v>fichier suivi.txt</x:v>
      </x:c>
      <x:c r="N117" s="377" t="str">
        <x:v>Reporting AVRO Issuing UAT</x:v>
      </x:c>
      <x:c r="O117" s="377" t="str">
        <x:v>Sprint 21</x:v>
      </x:c>
      <x:c r="P117" s="377" t="str">
        <x:v>Semaine 2</x:v>
      </x:c>
      <x:c r="Q117" s="377" t="str">
        <x:v>Prêt</x:v>
      </x:c>
      <x:c r="R117" s="377" t="str">
        <x:v>OK</x:v>
      </x:c>
      <x:c r="S117" s="363" t="str"/>
      <x:c r="T117" s="363" t="str"/>
      <x:c r="U117" s="363" t="str"/>
      <x:c r="V117" s="363" t="str"/>
      <x:c r="W117" s="363" t="str"/>
      <x:c r="X117" s="363" t="str"/>
      <x:c r="Y117" s="363" t="str"/>
      <x:c r="Z117" s="363" t="str"/>
      <x:c r="AA117" s="363" t="str"/>
      <x:c r="AB117" s="363" t="str"/>
      <x:c r="AC117"/>
      <x:c r="AD117"/>
      <x:c r="AE117"/>
      <x:c r="AF117"/>
      <x:c r="AG117"/>
    </x:row>
    <x:row r="118" ht="21.600000381469727" hidden="0" customHeight="1">
      <x:c r="A118" s="377" t="str">
        <x:v>2026-W32</x:v>
      </x:c>
      <x:c r="B118" s="377" t="n">
        <x:v>46243</x:v>
      </x:c>
      <x:c r="C118" s="377" t="str">
        <x:v>DMS12-2</x:v>
      </x:c>
      <x:c r="D118" s="377" t="str">
        <x:v>Issuing</x:v>
      </x:c>
      <x:c r="E118" s="377" t="str">
        <x:v>GED</x:v>
      </x:c>
      <x:c r="F118" s="377" t="str">
        <x:v>UAT</x:v>
      </x:c>
      <x:c r="G118" s="377" t="str">
        <x:v>AVRO</x:v>
      </x:c>
      <x:c r="H118" s="377" t="str">
        <x:v>Livré</x:v>
      </x:c>
      <x:c r="I118" s="377"/>
      <x:c r="J118" s="377" t="n">
        <x:v>1</x:v>
      </x:c>
      <x:c r="K118" s="377"/>
      <x:c r="L118" s="377" t="str">
        <x:v>Réel</x:v>
      </x:c>
      <x:c r="M118" s="377" t="str">
        <x:v>fichier suivi.txt</x:v>
      </x:c>
      <x:c r="N118" s="377" t="str">
        <x:v>Reporting AVRO Issuing UAT</x:v>
      </x:c>
      <x:c r="O118" s="377" t="str">
        <x:v>Sprint 21</x:v>
      </x:c>
      <x:c r="P118" s="377" t="str">
        <x:v>Semaine 2</x:v>
      </x:c>
      <x:c r="Q118" s="377" t="str">
        <x:v>Prêt</x:v>
      </x:c>
      <x:c r="R118" s="377" t="str">
        <x:v>OK</x:v>
      </x:c>
      <x:c r="S118" s="363" t="str"/>
      <x:c r="T118" s="363" t="str"/>
      <x:c r="U118" s="363" t="str"/>
      <x:c r="V118" s="363" t="str"/>
      <x:c r="W118" s="363" t="str"/>
      <x:c r="X118" s="363" t="str"/>
      <x:c r="Y118" s="363" t="str"/>
      <x:c r="Z118" s="363" t="str"/>
      <x:c r="AA118" s="363" t="str"/>
      <x:c r="AB118" s="363" t="str"/>
      <x:c r="AC118"/>
      <x:c r="AD118"/>
      <x:c r="AE118"/>
      <x:c r="AF118"/>
      <x:c r="AG118"/>
    </x:row>
    <x:row r="119" ht="32.400001525878906" hidden="0" customHeight="1">
      <x:c r="A119" s="377" t="str">
        <x:v>2026-W32</x:v>
      </x:c>
      <x:c r="B119" s="377" t="n">
        <x:v>46243</x:v>
      </x:c>
      <x:c r="C119" s="377" t="str">
        <x:v>796002</x:v>
      </x:c>
      <x:c r="D119" s="377" t="str">
        <x:v>Acquisition</x:v>
      </x:c>
      <x:c r="E119" s="377" t="str">
        <x:v>Onboarding</x:v>
      </x:c>
      <x:c r="F119" s="377" t="str">
        <x:v>SIT</x:v>
      </x:c>
      <x:c r="G119" s="377" t="str">
        <x:v>Anomalie</x:v>
      </x:c>
      <x:c r="H119" s="377" t="str">
        <x:v>Validé</x:v>
      </x:c>
      <x:c r="I119" s="377" t="str"/>
      <x:c r="J119" s="377" t="n">
        <x:v>1</x:v>
      </x:c>
      <x:c r="K119" s="377" t="str">
        <x:v>id-flow</x:v>
      </x:c>
      <x:c r="L119" s="377" t="str">
        <x:v>Réel</x:v>
      </x:c>
      <x:c r="M119" s="377" t="str">
        <x:v>Reporting — Phase 3 Exécution des tests utilisateurs</x:v>
      </x:c>
      <x:c r="N119" s="377" t="str">
        <x:v>796002</x:v>
      </x:c>
      <x:c r="O119" s="377" t="str">
        <x:v>Sprint 21</x:v>
      </x:c>
      <x:c r="P119" s="377" t="str">
        <x:v>Semaine 2</x:v>
      </x:c>
      <x:c r="Q119" s="377" t="str"/>
      <x:c r="R119" s="377" t="str">
        <x:v>OK</x:v>
      </x:c>
      <x:c r="S119" s="363" t="str"/>
      <x:c r="T119" s="363" t="str"/>
      <x:c r="U119" s="363" t="str"/>
      <x:c r="V119" s="363" t="str"/>
      <x:c r="W119" s="363" t="str"/>
      <x:c r="X119" s="363" t="str"/>
      <x:c r="Y119" s="363" t="str"/>
      <x:c r="Z119" s="363" t="str"/>
      <x:c r="AA119" s="363" t="str"/>
      <x:c r="AB119" s="363" t="str"/>
      <x:c r="AC119"/>
      <x:c r="AD119"/>
      <x:c r="AE119"/>
      <x:c r="AF119"/>
      <x:c r="AG119"/>
    </x:row>
    <x:row r="120" ht="32.400001525878906" hidden="0" customHeight="1">
      <x:c r="A120" s="377" t="str">
        <x:v>2026-W32</x:v>
      </x:c>
      <x:c r="B120" s="377" t="n">
        <x:v>46243</x:v>
      </x:c>
      <x:c r="C120" s="377" t="str">
        <x:v>800038</x:v>
      </x:c>
      <x:c r="D120" s="377" t="str">
        <x:v>Acquisition</x:v>
      </x:c>
      <x:c r="E120" s="377" t="str">
        <x:v>Onboarding</x:v>
      </x:c>
      <x:c r="F120" s="377" t="str">
        <x:v>SIT</x:v>
      </x:c>
      <x:c r="G120" s="377" t="str">
        <x:v>Anomalie</x:v>
      </x:c>
      <x:c r="H120" s="377" t="str">
        <x:v>Validé</x:v>
      </x:c>
      <x:c r="I120" s="377" t="str"/>
      <x:c r="J120" s="377" t="n">
        <x:v>1</x:v>
      </x:c>
      <x:c r="K120" s="377" t="str">
        <x:v>500 Gateway Timeout</x:v>
      </x:c>
      <x:c r="L120" s="377" t="str">
        <x:v>Réel</x:v>
      </x:c>
      <x:c r="M120" s="377" t="str">
        <x:v>Reporting — Phase 3 Exécution des tests utilisateurs</x:v>
      </x:c>
      <x:c r="N120" s="377" t="str">
        <x:v>800038</x:v>
      </x:c>
      <x:c r="O120" s="377" t="str">
        <x:v>Sprint 21</x:v>
      </x:c>
      <x:c r="P120" s="377" t="str">
        <x:v>Semaine 2</x:v>
      </x:c>
      <x:c r="Q120" s="377" t="str"/>
      <x:c r="R120" s="377" t="str">
        <x:v>OK</x:v>
      </x:c>
      <x:c r="S120" s="363" t="str"/>
      <x:c r="T120" s="363" t="str"/>
      <x:c r="U120" s="363" t="str"/>
      <x:c r="V120" s="363" t="str"/>
      <x:c r="W120" s="363" t="str"/>
      <x:c r="X120" s="363" t="str"/>
      <x:c r="Y120" s="363" t="str"/>
      <x:c r="Z120" s="363" t="str"/>
      <x:c r="AA120" s="363" t="str"/>
      <x:c r="AB120" s="363" t="str"/>
      <x:c r="AC120"/>
      <x:c r="AD120"/>
      <x:c r="AE120"/>
      <x:c r="AF120"/>
      <x:c r="AG120"/>
    </x:row>
    <x:row r="121" ht="32.400001525878906" hidden="0" customHeight="1">
      <x:c r="A121" s="377" t="str">
        <x:v>2026-W32</x:v>
      </x:c>
      <x:c r="B121" s="377" t="n">
        <x:v>46243</x:v>
      </x:c>
      <x:c r="C121" s="377" t="str">
        <x:v>844001</x:v>
      </x:c>
      <x:c r="D121" s="377" t="str">
        <x:v>Issuing</x:v>
      </x:c>
      <x:c r="E121" s="377" t="str">
        <x:v>Authorize / Paiement</x:v>
      </x:c>
      <x:c r="F121" s="377" t="str">
        <x:v>SIT</x:v>
      </x:c>
      <x:c r="G121" s="377" t="str">
        <x:v>Anomalie</x:v>
      </x:c>
      <x:c r="H121" s="377" t="str">
        <x:v>Validé</x:v>
      </x:c>
      <x:c r="I121" s="377" t="str"/>
      <x:c r="J121" s="377" t="n">
        <x:v>1</x:v>
      </x:c>
      <x:c r="K121" s="377" t="str">
        <x:v>500 on card holder.id missing on OA3-2</x:v>
      </x:c>
      <x:c r="L121" s="377" t="str">
        <x:v>Réel</x:v>
      </x:c>
      <x:c r="M121" s="377" t="str">
        <x:v>Reporting — Phase 3 Exécution des tests utilisateurs</x:v>
      </x:c>
      <x:c r="N121" s="377" t="str">
        <x:v>844001</x:v>
      </x:c>
      <x:c r="O121" s="377" t="str">
        <x:v>Sprint 21</x:v>
      </x:c>
      <x:c r="P121" s="377" t="str">
        <x:v>Semaine 2</x:v>
      </x:c>
      <x:c r="Q121" s="377" t="str"/>
      <x:c r="R121" s="377" t="str">
        <x:v>OK</x:v>
      </x:c>
      <x:c r="S121" s="363" t="str"/>
      <x:c r="T121" s="363" t="str"/>
      <x:c r="U121" s="363" t="str"/>
      <x:c r="V121" s="363" t="str"/>
      <x:c r="W121" s="363" t="str"/>
      <x:c r="X121" s="363" t="str"/>
      <x:c r="Y121" s="363" t="str"/>
      <x:c r="Z121" s="363" t="str"/>
      <x:c r="AA121" s="363" t="str"/>
      <x:c r="AB121" s="363" t="str"/>
      <x:c r="AC121"/>
      <x:c r="AD121"/>
      <x:c r="AE121"/>
      <x:c r="AF121"/>
      <x:c r="AG121"/>
    </x:row>
    <x:row r="122" ht="32.400001525878906" hidden="0" customHeight="1">
      <x:c r="A122" s="377" t="str">
        <x:v>2026-W32</x:v>
      </x:c>
      <x:c r="B122" s="377" t="n">
        <x:v>46243</x:v>
      </x:c>
      <x:c r="C122" s="377" t="str">
        <x:v>796002</x:v>
      </x:c>
      <x:c r="D122" s="377" t="str">
        <x:v>Issuing</x:v>
      </x:c>
      <x:c r="E122" s="377" t="str">
        <x:v>Onboarding</x:v>
      </x:c>
      <x:c r="F122" s="377" t="str">
        <x:v>SIT</x:v>
      </x:c>
      <x:c r="G122" s="377" t="str">
        <x:v>Anomalie</x:v>
      </x:c>
      <x:c r="H122" s="377" t="str">
        <x:v>Validé</x:v>
      </x:c>
      <x:c r="I122" s="377" t="str"/>
      <x:c r="J122" s="377" t="n">
        <x:v>1</x:v>
      </x:c>
      <x:c r="K122" s="377" t="str">
        <x:v>id-flow</x:v>
      </x:c>
      <x:c r="L122" s="377" t="str">
        <x:v>Réel</x:v>
      </x:c>
      <x:c r="M122" s="377" t="str">
        <x:v>Reporting — Phase 3 Exécution des tests utilisateurs</x:v>
      </x:c>
      <x:c r="N122" s="377" t="str">
        <x:v>796002</x:v>
      </x:c>
      <x:c r="O122" s="377" t="str">
        <x:v>Sprint 21</x:v>
      </x:c>
      <x:c r="P122" s="377" t="str">
        <x:v>Semaine 2</x:v>
      </x:c>
      <x:c r="Q122" s="377" t="str"/>
      <x:c r="R122" s="377" t="str">
        <x:v>OK</x:v>
      </x:c>
      <x:c r="S122" s="363" t="str"/>
      <x:c r="T122" s="363" t="str"/>
      <x:c r="U122" s="363" t="str"/>
      <x:c r="V122" s="363" t="str"/>
      <x:c r="W122" s="363" t="str"/>
      <x:c r="X122" s="363" t="str"/>
      <x:c r="Y122" s="363" t="str"/>
      <x:c r="Z122" s="363" t="str"/>
      <x:c r="AA122" s="363" t="str"/>
      <x:c r="AB122" s="363" t="str"/>
      <x:c r="AC122"/>
      <x:c r="AD122"/>
      <x:c r="AE122"/>
      <x:c r="AF122"/>
      <x:c r="AG122"/>
    </x:row>
    <x:row r="123" ht="32.400001525878906" hidden="0" customHeight="1">
      <x:c r="A123" s="377" t="str">
        <x:v>2026-W32</x:v>
      </x:c>
      <x:c r="B123" s="377" t="n">
        <x:v>46243</x:v>
      </x:c>
      <x:c r="C123" s="377" t="str">
        <x:v>800038</x:v>
      </x:c>
      <x:c r="D123" s="377" t="str">
        <x:v>Issuing</x:v>
      </x:c>
      <x:c r="E123" s="377" t="str">
        <x:v>Onboarding</x:v>
      </x:c>
      <x:c r="F123" s="377" t="str">
        <x:v>SIT</x:v>
      </x:c>
      <x:c r="G123" s="377" t="str">
        <x:v>Anomalie</x:v>
      </x:c>
      <x:c r="H123" s="377" t="str">
        <x:v>Validé</x:v>
      </x:c>
      <x:c r="I123" s="377" t="str"/>
      <x:c r="J123" s="377" t="n">
        <x:v>1</x:v>
      </x:c>
      <x:c r="K123" s="377" t="str">
        <x:v>500 Gateway Timeout</x:v>
      </x:c>
      <x:c r="L123" s="377" t="str">
        <x:v>Réel</x:v>
      </x:c>
      <x:c r="M123" s="377" t="str">
        <x:v>Reporting — Phase 3 Exécution des tests utilisateurs</x:v>
      </x:c>
      <x:c r="N123" s="377" t="str">
        <x:v>800038</x:v>
      </x:c>
      <x:c r="O123" s="377" t="str">
        <x:v>Sprint 21</x:v>
      </x:c>
      <x:c r="P123" s="377" t="str">
        <x:v>Semaine 2</x:v>
      </x:c>
      <x:c r="Q123" s="377" t="str"/>
      <x:c r="R123" s="377" t="str">
        <x:v>OK</x:v>
      </x:c>
      <x:c r="S123" s="363" t="str"/>
      <x:c r="T123" s="363" t="str"/>
      <x:c r="U123" s="363" t="str"/>
      <x:c r="V123" s="363" t="str"/>
      <x:c r="W123" s="363" t="str"/>
      <x:c r="X123" s="363" t="str"/>
      <x:c r="Y123" s="363" t="str"/>
      <x:c r="Z123" s="363" t="str"/>
      <x:c r="AA123" s="363" t="str"/>
      <x:c r="AB123" s="363" t="str"/>
      <x:c r="AC123"/>
      <x:c r="AD123"/>
      <x:c r="AE123"/>
      <x:c r="AF123"/>
      <x:c r="AG123"/>
    </x:row>
    <x:row r="124" ht="32.400001525878906" hidden="0" customHeight="1">
      <x:c r="A124" s="377" t="str">
        <x:v>2026-W32</x:v>
      </x:c>
      <x:c r="B124" s="377" t="n">
        <x:v>46243</x:v>
      </x:c>
      <x:c r="C124" s="377" t="str">
        <x:v>772018</x:v>
      </x:c>
      <x:c r="D124" s="377" t="str">
        <x:v>Issuing</x:v>
      </x:c>
      <x:c r="E124" s="377" t="str">
        <x:v>Onboarding</x:v>
      </x:c>
      <x:c r="F124" s="377" t="str">
        <x:v>SIT</x:v>
      </x:c>
      <x:c r="G124" s="377" t="str">
        <x:v>Anomalie</x:v>
      </x:c>
      <x:c r="H124" s="377" t="str">
        <x:v>Validé</x:v>
      </x:c>
      <x:c r="I124" s="377" t="str"/>
      <x:c r="J124" s="377" t="n">
        <x:v>1</x:v>
      </x:c>
      <x:c r="K124" s="377" t="str">
        <x:v>DateTime format</x:v>
      </x:c>
      <x:c r="L124" s="377" t="str">
        <x:v>Réel</x:v>
      </x:c>
      <x:c r="M124" s="377" t="str">
        <x:v>Reporting — Phase 3 Exécution des tests utilisateurs</x:v>
      </x:c>
      <x:c r="N124" s="377" t="str">
        <x:v>772018</x:v>
      </x:c>
      <x:c r="O124" s="377" t="str">
        <x:v>Sprint 21</x:v>
      </x:c>
      <x:c r="P124" s="377" t="str">
        <x:v>Semaine 2</x:v>
      </x:c>
      <x:c r="Q124" s="377" t="str"/>
      <x:c r="R124" s="377" t="str">
        <x:v>OK</x:v>
      </x:c>
      <x:c r="S124" s="363" t="str"/>
      <x:c r="T124" s="363" t="str"/>
      <x:c r="U124" s="363" t="str"/>
      <x:c r="V124" s="363" t="str"/>
      <x:c r="W124" s="363" t="str"/>
      <x:c r="X124" s="363" t="str"/>
      <x:c r="Y124" s="363" t="str"/>
      <x:c r="Z124" s="363" t="str"/>
      <x:c r="AA124" s="363" t="str"/>
      <x:c r="AB124" s="363" t="str"/>
      <x:c r="AC124"/>
      <x:c r="AD124"/>
      <x:c r="AE124"/>
      <x:c r="AF124"/>
      <x:c r="AG124"/>
    </x:row>
    <x:row r="125" ht="32.400001525878906" hidden="0" customHeight="1">
      <x:c r="A125" s="377" t="str">
        <x:v>2026-W32</x:v>
      </x:c>
      <x:c r="B125" s="377" t="n">
        <x:v>46243</x:v>
      </x:c>
      <x:c r="C125" s="377" t="str">
        <x:v>803033</x:v>
      </x:c>
      <x:c r="D125" s="377" t="str">
        <x:v>Issuing</x:v>
      </x:c>
      <x:c r="E125" s="377" t="str">
        <x:v>Onboarding</x:v>
      </x:c>
      <x:c r="F125" s="377" t="str">
        <x:v>SIT</x:v>
      </x:c>
      <x:c r="G125" s="377" t="str">
        <x:v>Anomalie</x:v>
      </x:c>
      <x:c r="H125" s="377" t="str">
        <x:v>Validé</x:v>
      </x:c>
      <x:c r="I125" s="377" t="str"/>
      <x:c r="J125" s="377" t="n">
        <x:v>1</x:v>
      </x:c>
      <x:c r="K125" s="377" t="str">
        <x:v>Error to get the schema</x:v>
      </x:c>
      <x:c r="L125" s="377" t="str">
        <x:v>Réel</x:v>
      </x:c>
      <x:c r="M125" s="377" t="str">
        <x:v>Reporting — Phase 3 Exécution des tests utilisateurs</x:v>
      </x:c>
      <x:c r="N125" s="377" t="str">
        <x:v>803033</x:v>
      </x:c>
      <x:c r="O125" s="377" t="str">
        <x:v>Sprint 21</x:v>
      </x:c>
      <x:c r="P125" s="377" t="str">
        <x:v>Semaine 2</x:v>
      </x:c>
      <x:c r="Q125" s="377" t="str"/>
      <x:c r="R125" s="377" t="str">
        <x:v>OK</x:v>
      </x:c>
      <x:c r="S125" s="363" t="str"/>
      <x:c r="T125" s="363" t="str"/>
      <x:c r="U125" s="363" t="str"/>
      <x:c r="V125" s="363" t="str"/>
      <x:c r="W125" s="363" t="str"/>
      <x:c r="X125" s="363" t="str"/>
      <x:c r="Y125" s="363" t="str"/>
      <x:c r="Z125" s="363" t="str"/>
      <x:c r="AA125" s="363" t="str"/>
      <x:c r="AB125" s="363" t="str"/>
      <x:c r="AC125"/>
      <x:c r="AD125"/>
      <x:c r="AE125"/>
      <x:c r="AF125"/>
      <x:c r="AG125"/>
    </x:row>
    <x:row r="126" ht="43.20000076293945" hidden="0" customHeight="1">
      <x:c r="A126" s="377" t="str">
        <x:v>2026-W32</x:v>
      </x:c>
      <x:c r="B126" s="377" t="n">
        <x:v>46243</x:v>
      </x:c>
      <x:c r="C126" s="377" t="str">
        <x:v>798044</x:v>
      </x:c>
      <x:c r="D126" s="377" t="str">
        <x:v>Issuing</x:v>
      </x:c>
      <x:c r="E126" s="377" t="str">
        <x:v>Onboarding</x:v>
      </x:c>
      <x:c r="F126" s="377" t="str">
        <x:v>SIT</x:v>
      </x:c>
      <x:c r="G126" s="377" t="str">
        <x:v>Anomalie</x:v>
      </x:c>
      <x:c r="H126" s="377" t="str">
        <x:v>Validé</x:v>
      </x:c>
      <x:c r="I126" s="377" t="str"/>
      <x:c r="J126" s="377" t="n">
        <x:v>1</x:v>
      </x:c>
      <x:c r="K126" s="377" t="str">
        <x:v>Erreur unauthorized_request CMS4_001 — pas liée à GIL</x:v>
      </x:c>
      <x:c r="L126" s="377" t="str">
        <x:v>Réel</x:v>
      </x:c>
      <x:c r="M126" s="377" t="str">
        <x:v>Reporting — Phase 3 Exécution des tests utilisateurs</x:v>
      </x:c>
      <x:c r="N126" s="377" t="str">
        <x:v>798044</x:v>
      </x:c>
      <x:c r="O126" s="377" t="str">
        <x:v>Sprint 21</x:v>
      </x:c>
      <x:c r="P126" s="377" t="str">
        <x:v>Semaine 2</x:v>
      </x:c>
      <x:c r="Q126" s="377" t="str"/>
      <x:c r="R126" s="377" t="str">
        <x:v>OK</x:v>
      </x:c>
      <x:c r="S126" s="363" t="str"/>
      <x:c r="T126" s="363" t="str"/>
      <x:c r="U126" s="363" t="str"/>
      <x:c r="V126" s="363" t="str"/>
      <x:c r="W126" s="363" t="str"/>
      <x:c r="X126" s="363" t="str"/>
      <x:c r="Y126" s="363" t="str"/>
      <x:c r="Z126" s="363" t="str"/>
      <x:c r="AA126" s="363" t="str"/>
      <x:c r="AB126" s="363" t="str"/>
      <x:c r="AC126"/>
      <x:c r="AD126"/>
      <x:c r="AE126"/>
      <x:c r="AF126"/>
      <x:c r="AG126"/>
    </x:row>
    <x:row r="127" ht="15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</x:row>
    <x:row r="128" ht="15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</x:row>
    <x:row r="129" ht="15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</x:row>
    <x:row r="130" ht="15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</x:row>
    <x:row r="131" ht="15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</x:row>
    <x:row r="132" ht="15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</x:row>
    <x:row r="133" ht="15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</x:row>
    <x:row r="134" ht="15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</x:row>
    <x:row r="135" ht="15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</x:row>
    <x:row r="136" ht="15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</x:row>
    <x:row r="137" ht="15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</x:row>
    <x:row r="138" ht="15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</x:row>
    <x:row r="139" ht="15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</x:row>
    <x:row r="140" ht="15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</x:row>
    <x:row r="141" ht="15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</x:row>
    <x:row r="142" ht="15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</x:row>
    <x:row r="143" ht="15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</x:row>
    <x:row r="144" ht="15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</x:row>
    <x:row r="145" ht="15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</x:row>
    <x:row r="146" ht="15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</x:row>
    <x:row r="147" ht="15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</x:row>
    <x:row r="148" ht="15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</x:row>
    <x:row r="149" ht="15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</x:row>
    <x:row r="150" ht="15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</x:row>
    <x:row r="151" ht="15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</x:row>
    <x:row r="152" ht="15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</x:row>
    <x:row r="153" ht="15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</x:row>
    <x:row r="154" ht="15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</x:row>
    <x:row r="155" ht="15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</x:row>
    <x:row r="156" ht="15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</x:row>
    <x:row r="157" ht="15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</x:row>
    <x:row r="158" ht="15" customHeight="1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</x:row>
    <x:row r="159" ht="15" customHeight="1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</x:row>
    <x:row r="160" ht="15" customHeight="1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</x:row>
    <x:row r="161" ht="15" customHeight="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</x:row>
    <x:row r="162" ht="15" customHeight="1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</x:row>
    <x:row r="163" ht="15" customHeight="1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</x:row>
    <x:row r="164" ht="15" customHeight="1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</x:row>
    <x:row r="165" ht="15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</x:row>
    <x:row r="166" ht="15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</x:row>
    <x:row r="167" ht="15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</x:row>
    <x:row r="168" ht="15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</x:row>
    <x:row r="169" ht="15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</x:row>
    <x:row r="170" ht="15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</x:row>
    <x:row r="171" ht="15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</x:row>
    <x:row r="172" ht="15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</x:row>
    <x:row r="173" ht="15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</x:row>
    <x:row r="174" ht="15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</x:row>
    <x:row r="175" ht="15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</x:row>
    <x:row r="176" ht="15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</x:row>
    <x:row r="177" ht="15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</x:row>
    <x:row r="178" ht="15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</x:row>
    <x:row r="179" ht="15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</x:row>
    <x:row r="180" ht="15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</x:row>
    <x:row r="181" ht="15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</x:row>
    <x:row r="182" ht="15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</x:row>
    <x:row r="183" ht="15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</x:row>
    <x:row r="184" ht="15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</x:row>
    <x:row r="185" ht="15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</x:row>
    <x:row r="186" ht="15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</x:row>
    <x:row r="187" ht="15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</x:row>
    <x:row r="188" ht="15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</x:row>
    <x:row r="189" ht="15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</x:row>
    <x:row r="190" ht="15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</x:row>
    <x:row r="191" ht="15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</x:row>
    <x:row r="192" ht="15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</x:row>
    <x:row r="193" ht="15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</x:row>
    <x:row r="194" ht="15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</x:row>
    <x:row r="195" ht="15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</x:row>
    <x:row r="196" ht="15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</x:row>
    <x:row r="197" ht="15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</x:row>
    <x:row r="198" ht="15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</x:row>
    <x:row r="199" ht="15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</x:row>
    <x:row r="200" ht="15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</x:row>
    <x:row r="201" ht="15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</x:row>
    <x:row r="202" ht="15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</x:row>
    <x:row r="203" ht="15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</x:row>
    <x:row r="204" ht="15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</x:row>
  </x:sheetData>
  <x:pageMargins left="0.7" right="0.7" top="0.75" bottom="0.75" header="0.3" footer="0.3"/>
  <x:tableParts count="1">
    <x:tablePart xmlns:r="http://schemas.openxmlformats.org/officeDocument/2006/relationships" r:id="R71a6f696373941e2"/>
  </x:tableParts>
</x:worksheet>
</file>

<file path=xl/worksheets/sheet4.xml><?xml version="1.0" encoding="utf-8"?>
<x:worksheet xmlns:x="http://schemas.openxmlformats.org/spreadsheetml/2006/main">
  <x:sheetFormatPr baseColWidth="10" defaultColWidth="8.88671875" defaultRowHeight="14.399999618530273"/>
  <x:cols>
    <x:col min="1" max="1" width="22" customWidth="1"/>
    <x:col min="2" max="2" width="20" customWidth="1"/>
    <x:col min="3" max="3" width="4" customWidth="1"/>
    <x:col min="4" max="4" width="22" customWidth="1"/>
    <x:col min="5" max="5" width="20" customWidth="1"/>
  </x:cols>
  <x:sheetData>
    <x:row r="1">
      <x:c r="A1" s="1" t="s">
        <x:v>163</x:v>
      </x:c>
      <x:c r="B1" s="1" t="s">
        <x:v>164</x:v>
      </x:c>
      <x:c r="D1" s="1" t="s">
        <x:v>165</x:v>
      </x:c>
      <x:c r="E1" s="1" t="s">
        <x:v>164</x:v>
      </x:c>
    </x:row>
    <x:row r="2">
      <x:c r="A2" s="2" t="str">
        <x:f>'01_Catalogue_Flux'!A5</x:f>
        <x:v>ACQ-OA4</x:v>
      </x:c>
      <x:c r="B2" s="2" t="str">
        <x:f t="shared" ref="B2:B37" si="0">SUBSTITUTE(SUBSTITUTE(SUBSTITUTE(SUBSTITUTE(UPPER(A2),"ACQ-",""),"ISS-",""),"-",""),"_","")</x:f>
        <x:v>OA4</x:v>
      </x:c>
      <x:c r="D2" s="2" t="n">
        <x:f>Reporting!C5</x:f>
        <x:v>0</x:v>
      </x:c>
      <x:c r="E2" s="2" t="n">
        <x:f t="shared" ref="E2:E33" si="1">SUBSTITUTE(SUBSTITUTE(SUBSTITUTE(SUBSTITUTE(UPPER(D2),"ACQ-",""),"ISS-",""),"-",""),"_","")</x:f>
        <x:v>0</x:v>
      </x:c>
    </x:row>
    <x:row r="3">
      <x:c r="A3" s="2" t="str">
        <x:f>'01_Catalogue_Flux'!A6</x:f>
        <x:v>ACQ-OA5-2</x:v>
      </x:c>
      <x:c r="B3" s="2" t="str">
        <x:f t="shared" si="0"/>
        <x:v>OA52</x:v>
      </x:c>
      <x:c r="D3" s="2" t="e">
        <x:f>Reporting!#REF!</x:f>
        <x:v>#REF!</x:v>
      </x:c>
      <x:c r="E3" s="2" t="e">
        <x:f t="shared" si="1"/>
        <x:v>#REF!</x:v>
      </x:c>
    </x:row>
    <x:row r="4">
      <x:c r="A4" s="2" t="str">
        <x:f>'01_Catalogue_Flux'!A7</x:f>
        <x:v>ACQ-OA5-2</x:v>
      </x:c>
      <x:c r="B4" s="2" t="str">
        <x:f t="shared" si="0"/>
        <x:v>OA52</x:v>
      </x:c>
      <x:c r="D4" s="2" t="e">
        <x:f>Reporting!#REF!</x:f>
        <x:v>#REF!</x:v>
      </x:c>
      <x:c r="E4" s="2" t="e">
        <x:f t="shared" si="1"/>
        <x:v>#REF!</x:v>
      </x:c>
    </x:row>
    <x:row r="5">
      <x:c r="A5" s="2" t="str">
        <x:f>'01_Catalogue_Flux'!A8</x:f>
        <x:v>ACQ-OA5-3</x:v>
      </x:c>
      <x:c r="B5" s="2" t="str">
        <x:f t="shared" si="0"/>
        <x:v>OA53</x:v>
      </x:c>
      <x:c r="D5" s="2" t="e">
        <x:f>Reporting!#REF!</x:f>
        <x:v>#REF!</x:v>
      </x:c>
      <x:c r="E5" s="2" t="e">
        <x:f t="shared" si="1"/>
        <x:v>#REF!</x:v>
      </x:c>
    </x:row>
    <x:row r="6">
      <x:c r="A6" s="2" t="str">
        <x:f>'01_Catalogue_Flux'!A9</x:f>
        <x:v>ACQ-OA8</x:v>
      </x:c>
      <x:c r="B6" s="2" t="str">
        <x:f t="shared" si="0"/>
        <x:v>OA8</x:v>
      </x:c>
      <x:c r="D6" s="2" t="e">
        <x:f>Reporting!#REF!</x:f>
        <x:v>#REF!</x:v>
      </x:c>
      <x:c r="E6" s="2" t="e">
        <x:f t="shared" si="1"/>
        <x:v>#REF!</x:v>
      </x:c>
    </x:row>
    <x:row r="7">
      <x:c r="A7" s="2" t="str">
        <x:f>'01_Catalogue_Flux'!A10</x:f>
        <x:v>ACQ-PC03-1</x:v>
      </x:c>
      <x:c r="B7" s="2" t="str">
        <x:f t="shared" si="0"/>
        <x:v>PC031</x:v>
      </x:c>
      <x:c r="D7" s="2" t="n">
        <x:f>Reporting!C6</x:f>
        <x:v>0</x:v>
      </x:c>
      <x:c r="E7" s="2" t="str">
        <x:f t="shared" si="1"/>
        <x:v>MM51</x:v>
      </x:c>
    </x:row>
    <x:row r="8">
      <x:c r="A8" s="2" t="str">
        <x:f>'01_Catalogue_Flux'!A11</x:f>
        <x:v>ACQ-PC03-2</x:v>
      </x:c>
      <x:c r="B8" s="2" t="str">
        <x:f t="shared" si="0"/>
        <x:v>PC032</x:v>
      </x:c>
      <x:c r="D8" s="2" t="e">
        <x:f>Reporting!#REF!</x:f>
        <x:v>#REF!</x:v>
      </x:c>
      <x:c r="E8" s="2" t="e">
        <x:f t="shared" si="1"/>
        <x:v>#REF!</x:v>
      </x:c>
    </x:row>
    <x:row r="9">
      <x:c r="A9" s="2" t="str">
        <x:f>'01_Catalogue_Flux'!A12</x:f>
        <x:v>ACQ-PC11</x:v>
      </x:c>
      <x:c r="B9" s="2" t="str">
        <x:f t="shared" si="0"/>
        <x:v>PC11</x:v>
      </x:c>
      <x:c r="D9" s="2" t="e">
        <x:f>Reporting!#REF!</x:f>
        <x:v>#REF!</x:v>
      </x:c>
      <x:c r="E9" s="2" t="e">
        <x:f t="shared" si="1"/>
        <x:v>#REF!</x:v>
      </x:c>
    </x:row>
    <x:row r="10">
      <x:c r="A10" s="2" t="str">
        <x:f>'01_Catalogue_Flux'!A13</x:f>
        <x:v>ACQ-MM4-1</x:v>
      </x:c>
      <x:c r="B10" s="2" t="str">
        <x:f t="shared" si="0"/>
        <x:v>MM41</x:v>
      </x:c>
      <x:c r="D10" s="2" t="e">
        <x:f>Reporting!#REF!</x:f>
        <x:v>#REF!</x:v>
      </x:c>
      <x:c r="E10" s="2" t="e">
        <x:f t="shared" si="1"/>
        <x:v>#REF!</x:v>
      </x:c>
    </x:row>
    <x:row r="11">
      <x:c r="A11" s="2" t="str">
        <x:f>'01_Catalogue_Flux'!A14</x:f>
        <x:v>ACQ-MM4-2</x:v>
      </x:c>
      <x:c r="B11" s="2" t="str">
        <x:f t="shared" si="0"/>
        <x:v>MM42</x:v>
      </x:c>
      <x:c r="D11" s="2" t="e">
        <x:f>Reporting!#REF!</x:f>
        <x:v>#REF!</x:v>
      </x:c>
      <x:c r="E11" s="2" t="e">
        <x:f t="shared" si="1"/>
        <x:v>#REF!</x:v>
      </x:c>
    </x:row>
    <x:row r="12">
      <x:c r="A12" s="2" t="str">
        <x:f>'01_Catalogue_Flux'!A15</x:f>
        <x:v>ACQ-MM4-3</x:v>
      </x:c>
      <x:c r="B12" s="2" t="str">
        <x:f t="shared" si="0"/>
        <x:v>MM43</x:v>
      </x:c>
      <x:c r="D12" s="2" t="n">
        <x:f>Reporting!C7</x:f>
        <x:v>0</x:v>
      </x:c>
      <x:c r="E12" s="2" t="str">
        <x:f t="shared" si="1"/>
        <x:v>MM7</x:v>
      </x:c>
    </x:row>
    <x:row r="13">
      <x:c r="A13" s="2" t="str">
        <x:f>'01_Catalogue_Flux'!A16</x:f>
        <x:v>ACQ-MM4-4</x:v>
      </x:c>
      <x:c r="B13" s="2" t="str">
        <x:f t="shared" si="0"/>
        <x:v>MM44</x:v>
      </x:c>
      <x:c r="D13" s="2" t="n">
        <x:f>Reporting!C8</x:f>
        <x:v>0</x:v>
      </x:c>
      <x:c r="E13" s="2" t="str">
        <x:f t="shared" si="1"/>
        <x:v>OA52</x:v>
      </x:c>
    </x:row>
    <x:row r="14">
      <x:c r="A14" s="2" t="str">
        <x:f>'01_Catalogue_Flux'!A17</x:f>
        <x:v>ACQ-MM4-5</x:v>
      </x:c>
      <x:c r="B14" s="2" t="str">
        <x:f t="shared" si="0"/>
        <x:v>MM45</x:v>
      </x:c>
      <x:c r="D14" s="2" t="n">
        <x:f>Reporting!C9</x:f>
        <x:v>0</x:v>
      </x:c>
      <x:c r="E14" s="2" t="str">
        <x:f t="shared" si="1"/>
        <x:v>PC062</x:v>
      </x:c>
    </x:row>
    <x:row r="15">
      <x:c r="A15" s="2" t="str">
        <x:f>'01_Catalogue_Flux'!A18</x:f>
        <x:v>ACQ-MM6</x:v>
      </x:c>
      <x:c r="B15" s="2" t="str">
        <x:f t="shared" si="0"/>
        <x:v>MM6</x:v>
      </x:c>
      <x:c r="D15" s="2" t="n">
        <x:f>Reporting!C10</x:f>
        <x:v>0</x:v>
      </x:c>
      <x:c r="E15" s="2" t="str">
        <x:f t="shared" si="1"/>
        <x:v>PC07</x:v>
      </x:c>
    </x:row>
    <x:row r="16">
      <x:c r="A16" s="2" t="str">
        <x:f>'01_Catalogue_Flux'!A19</x:f>
        <x:v>ACQ-MM5-1</x:v>
      </x:c>
      <x:c r="B16" s="2" t="str">
        <x:f t="shared" si="0"/>
        <x:v>MM51</x:v>
      </x:c>
      <x:c r="D16" s="2" t="n">
        <x:f>Reporting!C11</x:f>
        <x:v>0</x:v>
      </x:c>
      <x:c r="E16" s="2" t="str">
        <x:f t="shared" si="1"/>
        <x:v>CMS4001</x:v>
      </x:c>
    </x:row>
    <x:row r="17">
      <x:c r="A17" s="2" t="str">
        <x:f>'01_Catalogue_Flux'!A20</x:f>
        <x:v>ACQ-MM5-2</x:v>
      </x:c>
      <x:c r="B17" s="2" t="str">
        <x:f t="shared" si="0"/>
        <x:v>MM52</x:v>
      </x:c>
      <x:c r="D17" s="2" t="n">
        <x:f>Reporting!C12</x:f>
        <x:v>0</x:v>
      </x:c>
      <x:c r="E17" s="2" t="str">
        <x:f t="shared" si="1"/>
        <x:v>CMS14001</x:v>
      </x:c>
    </x:row>
    <x:row r="18">
      <x:c r="A18" s="2" t="str">
        <x:f>'01_Catalogue_Flux'!A21</x:f>
        <x:v>ACQ-MM5-3</x:v>
      </x:c>
      <x:c r="B18" s="2" t="str">
        <x:f t="shared" si="0"/>
        <x:v>MM53</x:v>
      </x:c>
      <x:c r="D18" s="2" t="n">
        <x:f>Reporting!C13</x:f>
        <x:v>0</x:v>
      </x:c>
      <x:c r="E18" s="2" t="str">
        <x:f t="shared" si="1"/>
        <x:v>CMS14002</x:v>
      </x:c>
    </x:row>
    <x:row r="19">
      <x:c r="A19" s="2" t="str">
        <x:f>'01_Catalogue_Flux'!A22</x:f>
        <x:v>ACQ-MM5-4</x:v>
      </x:c>
      <x:c r="B19" s="2" t="str">
        <x:f t="shared" si="0"/>
        <x:v>MM54</x:v>
      </x:c>
      <x:c r="D19" s="2" t="n">
        <x:f>Reporting!C14</x:f>
        <x:v>0</x:v>
      </x:c>
      <x:c r="E19" s="2" t="str">
        <x:f t="shared" si="1"/>
        <x:v>CMS20001</x:v>
      </x:c>
    </x:row>
    <x:row r="20">
      <x:c r="A20" s="2" t="str">
        <x:f>'01_Catalogue_Flux'!A23</x:f>
        <x:v>ACQ-MM5-5</x:v>
      </x:c>
      <x:c r="B20" s="2" t="str">
        <x:f t="shared" si="0"/>
        <x:v>MM55</x:v>
      </x:c>
      <x:c r="D20" s="2" t="n">
        <x:f>Reporting!C15</x:f>
        <x:v>0</x:v>
      </x:c>
      <x:c r="E20" s="2" t="str">
        <x:f t="shared" si="1"/>
        <x:v>CMS37001</x:v>
      </x:c>
    </x:row>
    <x:row r="21">
      <x:c r="A21" s="2" t="str">
        <x:f>'01_Catalogue_Flux'!A24</x:f>
        <x:v>ACQ-MM7</x:v>
      </x:c>
      <x:c r="B21" s="2" t="str">
        <x:f t="shared" si="0"/>
        <x:v>MM7</x:v>
      </x:c>
      <x:c r="D21" s="2" t="n">
        <x:f>Reporting!C16</x:f>
        <x:v>0</x:v>
      </x:c>
      <x:c r="E21" s="2" t="str">
        <x:f t="shared" si="1"/>
        <x:v>CMS22</x:v>
      </x:c>
    </x:row>
    <x:row r="22">
      <x:c r="A22" s="2" t="str">
        <x:f>'01_Catalogue_Flux'!A25</x:f>
        <x:v>ACQ-TC02</x:v>
      </x:c>
      <x:c r="B22" s="2" t="str">
        <x:f t="shared" si="0"/>
        <x:v>TC02</x:v>
      </x:c>
      <x:c r="D22" s="2" t="n">
        <x:f>Reporting!C17</x:f>
        <x:v>0</x:v>
      </x:c>
      <x:c r="E22" s="2" t="str">
        <x:f t="shared" si="1"/>
        <x:v>CMS14003</x:v>
      </x:c>
    </x:row>
    <x:row r="23">
      <x:c r="A23" s="2" t="str">
        <x:f>'01_Catalogue_Flux'!A26</x:f>
        <x:v>ACQ-TC04-1</x:v>
      </x:c>
      <x:c r="B23" s="2" t="str">
        <x:f t="shared" si="0"/>
        <x:v>TC041</x:v>
      </x:c>
      <x:c r="D23" s="2" t="n">
        <x:f>Reporting!C18</x:f>
        <x:v>0</x:v>
      </x:c>
      <x:c r="E23" s="2" t="str">
        <x:f t="shared" si="1"/>
        <x:v>OA3002</x:v>
      </x:c>
    </x:row>
    <x:row r="24">
      <x:c r="A24" s="2" t="str">
        <x:f>'01_Catalogue_Flux'!A27</x:f>
        <x:v>ACQ-TC04-2</x:v>
      </x:c>
      <x:c r="B24" s="2" t="str">
        <x:f t="shared" si="0"/>
        <x:v>TC042</x:v>
      </x:c>
      <x:c r="D24" s="2" t="n">
        <x:f>Reporting!C19</x:f>
        <x:v>0</x:v>
      </x:c>
      <x:c r="E24" s="2" t="str">
        <x:f t="shared" si="1"/>
        <x:v>CNTEM6</x:v>
      </x:c>
    </x:row>
    <x:row r="25">
      <x:c r="A25" s="2" t="str">
        <x:f>'01_Catalogue_Flux'!A28</x:f>
        <x:v>ACQ-TC04-3</x:v>
      </x:c>
      <x:c r="B25" s="2" t="str">
        <x:f t="shared" si="0"/>
        <x:v>TC043</x:v>
      </x:c>
      <x:c r="D25" s="2" t="n">
        <x:f>Reporting!C20</x:f>
        <x:v>0</x:v>
      </x:c>
      <x:c r="E25" s="2" t="str">
        <x:f t="shared" si="1"/>
        <x:v>CNTEM9</x:v>
      </x:c>
    </x:row>
    <x:row r="26">
      <x:c r="A26" s="2" t="str">
        <x:f>'01_Catalogue_Flux'!A29</x:f>
        <x:v>Iss-CMS12_001</x:v>
      </x:c>
      <x:c r="B26" s="2" t="str">
        <x:f t="shared" si="0"/>
        <x:v>CMS12001</x:v>
      </x:c>
      <x:c r="D26" s="2" t="n">
        <x:f>Reporting!C21</x:f>
        <x:v>0</x:v>
      </x:c>
      <x:c r="E26" s="2" t="str">
        <x:f t="shared" si="1"/>
        <x:v>CNTEM15</x:v>
      </x:c>
    </x:row>
    <x:row r="27">
      <x:c r="A27" s="2" t="str">
        <x:f>'01_Catalogue_Flux'!A30</x:f>
        <x:v>Iss-CMS4_001</x:v>
      </x:c>
      <x:c r="B27" s="2" t="str">
        <x:f t="shared" si="0"/>
        <x:v>CMS4001</x:v>
      </x:c>
      <x:c r="D27" s="2" t="n">
        <x:f>Reporting!C22</x:f>
        <x:v>0</x:v>
      </x:c>
      <x:c r="E27" s="2" t="str">
        <x:f t="shared" si="1"/>
        <x:v>CNTEM18</x:v>
      </x:c>
    </x:row>
    <x:row r="28">
      <x:c r="A28" s="2" t="str">
        <x:f>'01_Catalogue_Flux'!A31</x:f>
        <x:v>Iss-CMS3_001</x:v>
      </x:c>
      <x:c r="B28" s="2" t="str">
        <x:f t="shared" si="0"/>
        <x:v>CMS3001</x:v>
      </x:c>
      <x:c r="D28" s="2" t="n">
        <x:f>Reporting!C23</x:f>
        <x:v>0</x:v>
      </x:c>
      <x:c r="E28" s="2" t="str">
        <x:f t="shared" si="1"/>
        <x:v>DMS121</x:v>
      </x:c>
    </x:row>
    <x:row r="29">
      <x:c r="A29" s="2" t="str">
        <x:f>'01_Catalogue_Flux'!A32</x:f>
        <x:v>Iss-CMS3_003</x:v>
      </x:c>
      <x:c r="B29" s="2" t="str">
        <x:f t="shared" si="0"/>
        <x:v>CMS3003</x:v>
      </x:c>
      <x:c r="D29" s="2" t="n">
        <x:f>Reporting!C24</x:f>
        <x:v>0</x:v>
      </x:c>
      <x:c r="E29" s="2" t="str">
        <x:f t="shared" si="1"/>
        <x:v>DMS122</x:v>
      </x:c>
    </x:row>
    <x:row r="30">
      <x:c r="A30" s="2" t="str">
        <x:f>'01_Catalogue_Flux'!A33</x:f>
        <x:v>Iss-CMS13_001</x:v>
      </x:c>
      <x:c r="B30" s="2" t="str">
        <x:f t="shared" si="0"/>
        <x:v>CMS13001</x:v>
      </x:c>
      <x:c r="D30" s="2" t="n">
        <x:f>Reporting!C25</x:f>
        <x:v>0</x:v>
      </x:c>
      <x:c r="E30" s="2" t="str">
        <x:f t="shared" si="1"/>
        <x:v>MM41</x:v>
      </x:c>
    </x:row>
    <x:row r="31">
      <x:c r="A31" s="2" t="str">
        <x:f>'01_Catalogue_Flux'!A34</x:f>
        <x:v>Iss-CMS14_002</x:v>
      </x:c>
      <x:c r="B31" s="2" t="str">
        <x:f t="shared" si="0"/>
        <x:v>CMS14002</x:v>
      </x:c>
      <x:c r="D31" s="2" t="n">
        <x:f>Reporting!C26</x:f>
        <x:v>0</x:v>
      </x:c>
      <x:c r="E31" s="2" t="str">
        <x:f t="shared" si="1"/>
        <x:v>MM42</x:v>
      </x:c>
    </x:row>
    <x:row r="32">
      <x:c r="A32" s="2" t="str">
        <x:f>'01_Catalogue_Flux'!A35</x:f>
        <x:v>Iss-CMS14_001</x:v>
      </x:c>
      <x:c r="B32" s="2" t="str">
        <x:f t="shared" si="0"/>
        <x:v>CMS14001</x:v>
      </x:c>
      <x:c r="D32" s="2" t="n">
        <x:f>Reporting!C27</x:f>
        <x:v>0</x:v>
      </x:c>
      <x:c r="E32" s="2" t="str">
        <x:f t="shared" si="1"/>
        <x:v>MM43</x:v>
      </x:c>
    </x:row>
    <x:row r="33">
      <x:c r="A33" s="2" t="str">
        <x:f>'01_Catalogue_Flux'!A36</x:f>
        <x:v>Iss-CMS27_001</x:v>
      </x:c>
      <x:c r="B33" s="2" t="str">
        <x:f t="shared" si="0"/>
        <x:v>CMS27001</x:v>
      </x:c>
      <x:c r="D33" s="2" t="n">
        <x:f>Reporting!C28</x:f>
        <x:v>0</x:v>
      </x:c>
      <x:c r="E33" s="2" t="str">
        <x:f t="shared" si="1"/>
        <x:v>MM44</x:v>
      </x:c>
    </x:row>
    <x:row r="34">
      <x:c r="A34" s="2" t="str">
        <x:f>'01_Catalogue_Flux'!A37</x:f>
        <x:v>Iss-OA1_001</x:v>
      </x:c>
      <x:c r="B34" s="2" t="str">
        <x:f t="shared" si="0"/>
        <x:v>OA1001</x:v>
      </x:c>
      <x:c r="D34" s="2" t="n">
        <x:f>Reporting!C29</x:f>
        <x:v>0</x:v>
      </x:c>
      <x:c r="E34" s="2" t="n">
        <x:f t="shared" ref="E34:E65" si="2">SUBSTITUTE(SUBSTITUTE(SUBSTITUTE(SUBSTITUTE(UPPER(D34),"ACQ-",""),"ISS-",""),"-",""),"_","")</x:f>
        <x:v>0</x:v>
      </x:c>
    </x:row>
    <x:row r="35">
      <x:c r="A35" s="2" t="str">
        <x:f>'01_Catalogue_Flux'!A38</x:f>
        <x:v>Iss-OA16_001</x:v>
      </x:c>
      <x:c r="B35" s="2" t="str">
        <x:f t="shared" si="0"/>
        <x:v>OA16001</x:v>
      </x:c>
      <x:c r="D35" s="2" t="n">
        <x:f>Reporting!C30</x:f>
        <x:v>0</x:v>
      </x:c>
      <x:c r="E35" s="2" t="str">
        <x:f t="shared" si="2"/>
        <x:v>MM51</x:v>
      </x:c>
    </x:row>
    <x:row r="36">
      <x:c r="A36" s="2" t="str">
        <x:f>'01_Catalogue_Flux'!A39</x:f>
        <x:v>Iss-OA3_001</x:v>
      </x:c>
      <x:c r="B36" s="2" t="str">
        <x:f t="shared" si="0"/>
        <x:v>OA3001</x:v>
      </x:c>
      <x:c r="D36" s="2" t="n">
        <x:f>Reporting!C31</x:f>
        <x:v>0</x:v>
      </x:c>
      <x:c r="E36" s="2" t="str">
        <x:f t="shared" si="2"/>
        <x:v>MM52</x:v>
      </x:c>
    </x:row>
    <x:row r="37">
      <x:c r="A37" s="2" t="str">
        <x:f>'01_Catalogue_Flux'!A40</x:f>
        <x:v>Iss-OA3_002</x:v>
      </x:c>
      <x:c r="B37" s="2" t="str">
        <x:f t="shared" si="0"/>
        <x:v>OA3002</x:v>
      </x:c>
      <x:c r="D37" s="2" t="str">
        <x:f>Reporting!C32</x:f>
      </x:c>
      <x:c r="E37" s="2" t="str">
        <x:f t="shared" si="2"/>
        <x:v>MM53</x:v>
      </x:c>
    </x:row>
    <x:row r="38">
      <x:c r="D38" s="2" t="n">
        <x:f>Reporting!C33</x:f>
        <x:v>0</x:v>
      </x:c>
      <x:c r="E38" s="2" t="str">
        <x:f t="shared" si="2"/>
        <x:v>MM54</x:v>
      </x:c>
    </x:row>
    <x:row r="39">
      <x:c r="D39" s="2" t="n">
        <x:f>Reporting!C34</x:f>
        <x:v>0</x:v>
      </x:c>
      <x:c r="E39" s="2" t="str">
        <x:f t="shared" si="2"/>
        <x:v>MM55</x:v>
      </x:c>
    </x:row>
    <x:row r="40">
      <x:c r="D40" s="2" t="n">
        <x:f>Reporting!C35</x:f>
        <x:v>0</x:v>
      </x:c>
      <x:c r="E40" s="2" t="str">
        <x:f t="shared" si="2"/>
        <x:v>MM7</x:v>
      </x:c>
    </x:row>
    <x:row r="41">
      <x:c r="D41" s="2" t="n">
        <x:f>Reporting!C36</x:f>
        <x:v>0</x:v>
      </x:c>
      <x:c r="E41" s="2" t="str">
        <x:f t="shared" si="2"/>
        <x:v>OA52</x:v>
      </x:c>
    </x:row>
    <x:row r="42">
      <x:c r="D42" s="2" t="n">
        <x:f>Reporting!C37</x:f>
        <x:v>0</x:v>
      </x:c>
      <x:c r="E42" s="2" t="str">
        <x:f t="shared" si="2"/>
        <x:v>PC062</x:v>
      </x:c>
    </x:row>
    <x:row r="43">
      <x:c r="D43" s="2" t="n">
        <x:f>Reporting!C38</x:f>
        <x:v>0</x:v>
      </x:c>
      <x:c r="E43" s="2" t="str">
        <x:f t="shared" si="2"/>
        <x:v>PC07</x:v>
      </x:c>
    </x:row>
    <x:row r="44">
      <x:c r="D44" s="2" t="n">
        <x:f>Reporting!C39</x:f>
        <x:v>0</x:v>
      </x:c>
      <x:c r="E44" s="2" t="str">
        <x:f t="shared" si="2"/>
        <x:v>CMS4001</x:v>
      </x:c>
    </x:row>
    <x:row r="45">
      <x:c r="D45" s="2" t="n">
        <x:f>Reporting!C40</x:f>
        <x:v>0</x:v>
      </x:c>
      <x:c r="E45" s="2" t="str">
        <x:f t="shared" si="2"/>
        <x:v>CMS14001</x:v>
      </x:c>
    </x:row>
    <x:row r="46">
      <x:c r="D46" s="2" t="n">
        <x:f>Reporting!C41</x:f>
        <x:v>0</x:v>
      </x:c>
      <x:c r="E46" s="2" t="str">
        <x:f t="shared" si="2"/>
        <x:v>CMS14002</x:v>
      </x:c>
    </x:row>
    <x:row r="47">
      <x:c r="D47" s="2" t="n">
        <x:f>Reporting!C42</x:f>
        <x:v>0</x:v>
      </x:c>
      <x:c r="E47" s="2" t="str">
        <x:f t="shared" si="2"/>
        <x:v>CMS20001</x:v>
      </x:c>
    </x:row>
    <x:row r="48">
      <x:c r="D48" s="2" t="n">
        <x:f>Reporting!C43</x:f>
        <x:v>0</x:v>
      </x:c>
      <x:c r="E48" s="2" t="str">
        <x:f t="shared" si="2"/>
        <x:v>CMS37001</x:v>
      </x:c>
    </x:row>
    <x:row r="49">
      <x:c r="D49" s="2" t="n">
        <x:f>Reporting!C44</x:f>
        <x:v>0</x:v>
      </x:c>
      <x:c r="E49" s="2" t="str">
        <x:f t="shared" si="2"/>
        <x:v>CMS22</x:v>
      </x:c>
    </x:row>
    <x:row r="50">
      <x:c r="D50" s="2" t="n">
        <x:f>Reporting!C45</x:f>
        <x:v>0</x:v>
      </x:c>
      <x:c r="E50" s="2" t="str">
        <x:f t="shared" si="2"/>
        <x:v>CMS14003</x:v>
      </x:c>
    </x:row>
    <x:row r="51">
      <x:c r="D51" s="2" t="n">
        <x:f>Reporting!C46</x:f>
        <x:v>0</x:v>
      </x:c>
      <x:c r="E51" s="2" t="str">
        <x:f t="shared" si="2"/>
        <x:v>OA3002</x:v>
      </x:c>
    </x:row>
    <x:row r="52">
      <x:c r="D52" s="2" t="n">
        <x:f>Reporting!C47</x:f>
        <x:v>0</x:v>
      </x:c>
      <x:c r="E52" s="2" t="str">
        <x:f t="shared" si="2"/>
        <x:v>CNTEM6</x:v>
      </x:c>
    </x:row>
    <x:row r="53">
      <x:c r="D53" s="2" t="n">
        <x:f>Reporting!C48</x:f>
        <x:v>0</x:v>
      </x:c>
      <x:c r="E53" s="2" t="str">
        <x:f t="shared" si="2"/>
        <x:v>CNTEM9</x:v>
      </x:c>
    </x:row>
    <x:row r="54">
      <x:c r="D54" s="2" t="n">
        <x:f>Reporting!C49</x:f>
        <x:v>0</x:v>
      </x:c>
      <x:c r="E54" s="2" t="str">
        <x:f t="shared" si="2"/>
        <x:v>CNTEM15</x:v>
      </x:c>
    </x:row>
    <x:row r="55">
      <x:c r="D55" s="2" t="n">
        <x:f>Reporting!C50</x:f>
        <x:v>0</x:v>
      </x:c>
      <x:c r="E55" s="2" t="str">
        <x:f t="shared" si="2"/>
        <x:v>CNTEM18</x:v>
      </x:c>
    </x:row>
    <x:row r="56">
      <x:c r="D56" s="2" t="n">
        <x:f>Reporting!C51</x:f>
        <x:v>0</x:v>
      </x:c>
      <x:c r="E56" s="2" t="str">
        <x:f t="shared" si="2"/>
        <x:v>DMS121</x:v>
      </x:c>
    </x:row>
    <x:row r="57">
      <x:c r="D57" s="2" t="n">
        <x:f>Reporting!C52</x:f>
        <x:v>0</x:v>
      </x:c>
      <x:c r="E57" s="2" t="str">
        <x:f t="shared" si="2"/>
        <x:v>DMS122</x:v>
      </x:c>
    </x:row>
    <x:row r="58">
      <x:c r="D58" s="2" t="n">
        <x:f>Reporting!C53</x:f>
        <x:v>0</x:v>
      </x:c>
      <x:c r="E58" s="2" t="str">
        <x:f t="shared" si="2"/>
        <x:v>0</x:v>
      </x:c>
    </x:row>
    <x:row r="59">
      <x:c r="D59" s="2" t="n">
        <x:f>Reporting!C54</x:f>
        <x:v>0</x:v>
      </x:c>
      <x:c r="E59" s="2" t="str">
        <x:f t="shared" si="2"/>
        <x:v>0</x:v>
      </x:c>
    </x:row>
    <x:row r="60">
      <x:c r="D60" s="2" t="n">
        <x:f>Reporting!C55</x:f>
        <x:v>0</x:v>
      </x:c>
      <x:c r="E60" s="2" t="str">
        <x:f t="shared" si="2"/>
        <x:v>0</x:v>
      </x:c>
    </x:row>
    <x:row r="61">
      <x:c r="D61" s="2" t="n">
        <x:f>Reporting!C56</x:f>
        <x:v>0</x:v>
      </x:c>
      <x:c r="E61" s="2" t="str">
        <x:f t="shared" si="2"/>
        <x:v>0</x:v>
      </x:c>
    </x:row>
    <x:row r="62">
      <x:c r="D62" s="2" t="n">
        <x:f>Reporting!C57</x:f>
        <x:v>0</x:v>
      </x:c>
      <x:c r="E62" s="2" t="str">
        <x:f t="shared" si="2"/>
        <x:v>0</x:v>
      </x:c>
    </x:row>
    <x:row r="63">
      <x:c r="D63" s="2" t="str">
        <x:f>Reporting!C58</x:f>
      </x:c>
      <x:c r="E63" s="2" t="str">
        <x:f t="shared" si="2"/>
        <x:v>0</x:v>
      </x:c>
    </x:row>
    <x:row r="64">
      <x:c r="D64" s="2" t="str">
        <x:f>Reporting!C59</x:f>
      </x:c>
      <x:c r="E64" s="2" t="str">
        <x:f t="shared" si="2"/>
        <x:v>0</x:v>
      </x:c>
    </x:row>
    <x:row r="65">
      <x:c r="D65" s="2" t="str">
        <x:f>Reporting!C60</x:f>
        <x:v>Criticité</x:v>
      </x:c>
      <x:c r="E65" s="2" t="str">
        <x:f t="shared" si="2"/>
        <x:v>0</x:v>
      </x:c>
    </x:row>
    <x:row r="66">
      <x:c r="D66" s="2" t="str">
        <x:f>Reporting!C61</x:f>
        <x:v>Critique</x:v>
      </x:c>
      <x:c r="E66" s="2" t="str">
        <x:f t="shared" ref="E66:E97" si="3">SUBSTITUTE(SUBSTITUTE(SUBSTITUTE(SUBSTITUTE(UPPER(D66),"ACQ-",""),"ISS-",""),"-",""),"_","")</x:f>
        <x:v>CRITIQUE</x:v>
      </x:c>
    </x:row>
    <x:row r="67">
      <x:c r="D67" s="2" t="str">
        <x:f>Reporting!C62</x:f>
        <x:v>Majeur</x:v>
      </x:c>
      <x:c r="E67" s="2" t="str">
        <x:f t="shared" si="3"/>
        <x:v>0</x:v>
      </x:c>
    </x:row>
    <x:row r="68">
      <x:c r="D68" s="2" t="str">
        <x:f>Reporting!C63</x:f>
        <x:v>Mineur</x:v>
      </x:c>
      <x:c r="E68" s="2" t="str">
        <x:f t="shared" si="3"/>
        <x:v>0</x:v>
      </x:c>
    </x:row>
    <x:row r="69">
      <x:c r="D69" s="2" t="str">
        <x:f>Reporting!C64</x:f>
        <x:v>Critique</x:v>
      </x:c>
      <x:c r="E69" s="2" t="str">
        <x:f t="shared" si="3"/>
        <x:v>0</x:v>
      </x:c>
    </x:row>
    <x:row r="70">
      <x:c r="D70" s="2" t="str">
        <x:f>Reporting!C65</x:f>
        <x:v>Majeur</x:v>
      </x:c>
      <x:c r="E70" s="2" t="str">
        <x:f t="shared" si="3"/>
        <x:v>0</x:v>
      </x:c>
    </x:row>
    <x:row r="71">
      <x:c r="D71" s="2" t="str">
        <x:f>Reporting!C66</x:f>
        <x:v>Mineur</x:v>
      </x:c>
      <x:c r="E71" s="2" t="str">
        <x:f t="shared" si="3"/>
        <x:v>0</x:v>
      </x:c>
    </x:row>
    <x:row r="72">
      <x:c r="D72" s="2" t="n">
        <x:f>Reporting!C67</x:f>
        <x:v>0</x:v>
      </x:c>
      <x:c r="E72" s="2" t="str">
        <x:f t="shared" si="3"/>
        <x:v>0</x:v>
      </x:c>
    </x:row>
    <x:row r="73">
      <x:c r="D73" s="2" t="n">
        <x:f>Reporting!C68</x:f>
        <x:v>0</x:v>
      </x:c>
      <x:c r="E73" s="2" t="str">
        <x:f t="shared" si="3"/>
        <x:v>0</x:v>
      </x:c>
    </x:row>
    <x:row r="74">
      <x:c r="D74" s="2" t="str">
        <x:f>Reporting!C69</x:f>
      </x:c>
      <x:c r="E74" s="2" t="str">
        <x:f t="shared" si="3"/>
        <x:v>0</x:v>
      </x:c>
    </x:row>
    <x:row r="75">
      <x:c r="D75" s="2" t="str">
        <x:f>Reporting!C70</x:f>
        <x:v>ID_Flux</x:v>
      </x:c>
      <x:c r="E75" s="2" t="str">
        <x:f t="shared" si="3"/>
        <x:v>0</x:v>
      </x:c>
    </x:row>
    <x:row r="76">
      <x:c r="D76" s="2" t="str">
        <x:f>Reporting!C71</x:f>
        <x:v>MM4-1</x:v>
      </x:c>
      <x:c r="E76" s="2" t="str">
        <x:f t="shared" si="3"/>
        <x:v>0</x:v>
      </x:c>
    </x:row>
    <x:row r="77">
      <x:c r="D77" s="2" t="str">
        <x:f>Reporting!C72</x:f>
        <x:v>MM5-1</x:v>
      </x:c>
      <x:c r="E77" s="2" t="str">
        <x:f t="shared" si="3"/>
        <x:v>0</x:v>
      </x:c>
    </x:row>
    <x:row r="78">
      <x:c r="D78" s="2" t="str">
        <x:f>Reporting!C73</x:f>
        <x:v>MM7</x:v>
      </x:c>
      <x:c r="E78" s="2" t="str">
        <x:f t="shared" si="3"/>
        <x:v>0</x:v>
      </x:c>
    </x:row>
    <x:row r="79">
      <x:c r="D79" s="2" t="str">
        <x:f>Reporting!C74</x:f>
        <x:v>OA5-2</x:v>
      </x:c>
      <x:c r="E79" s="2" t="str">
        <x:f t="shared" si="3"/>
        <x:v>0</x:v>
      </x:c>
    </x:row>
    <x:row r="80">
      <x:c r="D80" s="2" t="str">
        <x:f>Reporting!C75</x:f>
        <x:v>PC06-2</x:v>
      </x:c>
      <x:c r="E80" s="2" t="str">
        <x:f t="shared" si="3"/>
        <x:v>0</x:v>
      </x:c>
    </x:row>
    <x:row r="81">
      <x:c r="D81" s="2" t="str">
        <x:f>Reporting!C76</x:f>
        <x:v>PC07</x:v>
      </x:c>
      <x:c r="E81" s="2" t="str">
        <x:f t="shared" si="3"/>
        <x:v>0</x:v>
      </x:c>
    </x:row>
    <x:row r="82">
      <x:c r="D82" s="2" t="str">
        <x:f>Reporting!C77</x:f>
        <x:v>CMS4_001</x:v>
      </x:c>
      <x:c r="E82" s="2" t="str">
        <x:f t="shared" si="3"/>
        <x:v>0</x:v>
      </x:c>
    </x:row>
    <x:row r="83">
      <x:c r="D83" s="2" t="str">
        <x:f>Reporting!C78</x:f>
        <x:v>CMS14_001</x:v>
      </x:c>
      <x:c r="E83" s="2" t="str">
        <x:f t="shared" si="3"/>
        <x:v>0</x:v>
      </x:c>
    </x:row>
    <x:row r="84">
      <x:c r="D84" s="2" t="str">
        <x:f>Reporting!C79</x:f>
        <x:v>CMS14_002</x:v>
      </x:c>
      <x:c r="E84" s="2" t="str">
        <x:f t="shared" si="3"/>
        <x:v>0</x:v>
      </x:c>
    </x:row>
    <x:row r="85">
      <x:c r="D85" s="2" t="str">
        <x:f>Reporting!C80</x:f>
        <x:v>CMS20_001</x:v>
      </x:c>
      <x:c r="E85" s="2" t="str">
        <x:f t="shared" si="3"/>
        <x:v>0</x:v>
      </x:c>
    </x:row>
    <x:row r="86">
      <x:c r="D86" s="2" t="str">
        <x:f>Reporting!C81</x:f>
        <x:v>CMS37_001</x:v>
      </x:c>
      <x:c r="E86" s="2" t="str">
        <x:f t="shared" si="3"/>
        <x:v>0</x:v>
      </x:c>
    </x:row>
    <x:row r="87">
      <x:c r="D87" s="2" t="str">
        <x:f>Reporting!C82</x:f>
        <x:v>CMS22</x:v>
      </x:c>
      <x:c r="E87" s="2" t="str">
        <x:f t="shared" si="3"/>
        <x:v>0</x:v>
      </x:c>
    </x:row>
    <x:row r="88">
      <x:c r="D88" s="2" t="str">
        <x:f>Reporting!C83</x:f>
        <x:v>CMS14_003</x:v>
      </x:c>
      <x:c r="E88" s="2" t="str">
        <x:f t="shared" si="3"/>
        <x:v>0</x:v>
      </x:c>
    </x:row>
    <x:row r="89">
      <x:c r="D89" s="2" t="str">
        <x:f>Reporting!C84</x:f>
        <x:v>OA3_002</x:v>
      </x:c>
      <x:c r="E89" s="2" t="str">
        <x:f t="shared" si="3"/>
        <x:v>0</x:v>
      </x:c>
    </x:row>
    <x:row r="90">
      <x:c r="D90" s="2" t="str">
        <x:f>Reporting!C85</x:f>
        <x:v>CNT-EM6</x:v>
      </x:c>
      <x:c r="E90" s="2" t="str">
        <x:f t="shared" si="3"/>
        <x:v>0</x:v>
      </x:c>
    </x:row>
    <x:row r="91">
      <x:c r="D91" s="2" t="str">
        <x:f>Reporting!C86</x:f>
        <x:v>CNT-EM9</x:v>
      </x:c>
      <x:c r="E91" s="2" t="str">
        <x:f t="shared" si="3"/>
        <x:v>0</x:v>
      </x:c>
    </x:row>
    <x:row r="92">
      <x:c r="D92" s="2" t="str">
        <x:f>Reporting!C87</x:f>
        <x:v>CNT-EM15</x:v>
      </x:c>
      <x:c r="E92" s="2" t="str">
        <x:f t="shared" si="3"/>
        <x:v>0</x:v>
      </x:c>
    </x:row>
    <x:row r="93">
      <x:c r="D93" s="2" t="str">
        <x:f>Reporting!C88</x:f>
        <x:v>CNT-EM18</x:v>
      </x:c>
      <x:c r="E93" s="2" t="str">
        <x:f t="shared" si="3"/>
        <x:v>0</x:v>
      </x:c>
    </x:row>
    <x:row r="94">
      <x:c r="D94" s="2" t="str">
        <x:f>Reporting!C89</x:f>
        <x:v>DMS12-1</x:v>
      </x:c>
      <x:c r="E94" s="2" t="str">
        <x:f t="shared" si="3"/>
        <x:v>0</x:v>
      </x:c>
    </x:row>
    <x:row r="95">
      <x:c r="D95" s="2" t="str">
        <x:f>Reporting!C90</x:f>
        <x:v>DMS12-2</x:v>
      </x:c>
      <x:c r="E95" s="2" t="str">
        <x:f t="shared" si="3"/>
        <x:v>0</x:v>
      </x:c>
    </x:row>
    <x:row r="96">
      <x:c r="D96" s="2" t="str">
        <x:f>Reporting!C91</x:f>
        <x:v>MM4-1</x:v>
      </x:c>
      <x:c r="E96" s="2" t="str">
        <x:f t="shared" si="3"/>
        <x:v>0</x:v>
      </x:c>
    </x:row>
    <x:row r="97">
      <x:c r="D97" s="2" t="str">
        <x:f>Reporting!C92</x:f>
        <x:v>MM4-2</x:v>
      </x:c>
      <x:c r="E97" s="2" t="str">
        <x:f t="shared" si="3"/>
        <x:v>0</x:v>
      </x:c>
    </x:row>
    <x:row r="98">
      <x:c r="D98" s="2" t="str">
        <x:f>Reporting!C93</x:f>
        <x:v>MM4-3</x:v>
      </x:c>
      <x:c r="E98" s="2" t="str">
        <x:f t="shared" ref="E98:E105" si="4">SUBSTITUTE(SUBSTITUTE(SUBSTITUTE(SUBSTITUTE(UPPER(D98),"ACQ-",""),"ISS-",""),"-",""),"_","")</x:f>
        <x:v>MM43</x:v>
      </x:c>
    </x:row>
    <x:row r="99">
      <x:c r="D99" s="2" t="str">
        <x:f>Reporting!C94</x:f>
        <x:v>MM4-4</x:v>
      </x:c>
      <x:c r="E99" s="2" t="str">
        <x:f t="shared" si="4"/>
        <x:v>0</x:v>
      </x:c>
    </x:row>
    <x:row r="100">
      <x:c r="D100" s="2" t="str">
        <x:f>Reporting!C95</x:f>
        <x:v>MM4-5</x:v>
      </x:c>
      <x:c r="E100" s="2" t="str">
        <x:f t="shared" si="4"/>
        <x:v>0</x:v>
      </x:c>
    </x:row>
    <x:row r="101">
      <x:c r="D101" s="2" t="str">
        <x:f>Reporting!C96</x:f>
        <x:v>MM5-1</x:v>
      </x:c>
      <x:c r="E101" s="2" t="str">
        <x:f t="shared" si="4"/>
        <x:v>0</x:v>
      </x:c>
    </x:row>
    <x:row r="102">
      <x:c r="D102" s="2" t="str">
        <x:f>Reporting!C97</x:f>
        <x:v>MM5-2</x:v>
      </x:c>
      <x:c r="E102" s="2" t="str">
        <x:f t="shared" si="4"/>
        <x:v>0</x:v>
      </x:c>
    </x:row>
    <x:row r="103">
      <x:c r="D103" s="2" t="str">
        <x:f>Reporting!C98</x:f>
        <x:v>MM5-3</x:v>
      </x:c>
      <x:c r="E103" s="2" t="str">
        <x:f t="shared" si="4"/>
        <x:v>0</x:v>
      </x:c>
    </x:row>
    <x:row r="104">
      <x:c r="D104" s="2" t="str">
        <x:f>Reporting!C99</x:f>
        <x:v>MM5-4</x:v>
      </x:c>
      <x:c r="E104" s="2" t="str">
        <x:f t="shared" si="4"/>
        <x:v>0</x:v>
      </x:c>
    </x:row>
    <x:row r="105">
      <x:c r="D105" s="2" t="str">
        <x:f>Reporting!C100</x:f>
        <x:v>MM5-5</x:v>
      </x:c>
      <x:c r="E105" s="2" t="str">
        <x:f t="shared" si="4"/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88671875" defaultRowHeight="14.399999618530273"/>
  <x:cols>
    <x:col min="1" max="1" width="20" customWidth="1"/>
    <x:col min="2" max="2" width="16" customWidth="1"/>
    <x:col min="3" max="3" width="25" customWidth="1"/>
    <x:col min="4" max="4" width="18" customWidth="1"/>
    <x:col min="5" max="5" width="20" customWidth="1"/>
    <x:col min="6" max="6" width="18" customWidth="1"/>
    <x:col min="7" max="7" width="26" customWidth="1"/>
    <x:col min="8" max="8" width="20" customWidth="1"/>
    <x:col min="9" max="9" width="25" customWidth="1"/>
  </x:cols>
  <x:sheetData>
    <x:row r="1" ht="19.200000762939453" customHeight="1">
      <x:c r="A1" s="21" t="s">
        <x:v>166</x:v>
      </x:c>
      <x:c r="B1" s="21"/>
      <x:c r="C1" s="21"/>
      <x:c r="D1" s="21"/>
      <x:c r="E1" s="21"/>
      <x:c r="F1" s="21"/>
      <x:c r="G1" s="21"/>
      <x:c r="H1" s="21"/>
      <x:c r="I1" s="21"/>
    </x:row>
    <x:row r="2" ht="15" customHeight="1">
      <x:c r="A2" s="22" t="s">
        <x:v>167</x:v>
      </x:c>
      <x:c r="B2" s="22"/>
      <x:c r="C2" s="22"/>
      <x:c r="D2" s="22"/>
      <x:c r="E2" s="22"/>
      <x:c r="F2" s="22"/>
      <x:c r="G2" s="22"/>
      <x:c r="H2" s="22"/>
      <x:c r="I2" s="22"/>
    </x:row>
    <x:row r="4" ht="15" customHeight="1">
      <x:c r="A4" s="1" t="s">
        <x:v>168</x:v>
      </x:c>
      <x:c r="B4" s="1" t="s">
        <x:v>169</x:v>
      </x:c>
      <x:c r="C4" s="1" t="s">
        <x:v>170</x:v>
      </x:c>
      <x:c r="D4" s="1" t="s">
        <x:v>171</x:v>
      </x:c>
      <x:c r="E4" s="1" t="s">
        <x:v>163</x:v>
      </x:c>
      <x:c r="F4" s="1" t="s">
        <x:v>172</x:v>
      </x:c>
      <x:c r="G4" s="1" t="s">
        <x:v>173</x:v>
      </x:c>
      <x:c r="H4" s="1" t="s">
        <x:v>174</x:v>
      </x:c>
      <x:c r="I4" s="1" t="s">
        <x:v>3</x:v>
      </x:c>
    </x:row>
    <x:row r="5" ht="15" customHeight="1">
      <x:c r="A5" s="2" t="n">
        <x:f>Reporting!C5</x:f>
        <x:v>0</x:v>
      </x:c>
      <x:c r="B5" s="2" t="n">
        <x:f>Reporting!D5</x:f>
        <x:v>0</x:v>
      </x:c>
      <x:c r="C5" s="2" t="str">
        <x:f>Reporting!E5</x:f>
        <x:v>Chaine de valeur flux</x:v>
      </x:c>
      <x:c r="D5" s="2" t="str">
        <x:f>IF(COUNTIF('98_Mapping_Technique'!$B$2:$B$5000,INDEX('98_Mapping_Technique'!$E$2:$E$5000,ROW()-4))&gt;0,"Trouvé","Non trouvé")</x:f>
        <x:v>Non trouvé</x:v>
      </x:c>
      <x:c r="E5" s="2" t="str">
        <x:f>IFERROR(INDEX('98_Mapping_Technique'!$A$2:$A$5000,MATCH(INDEX('98_Mapping_Technique'!$E$2:$E$5000,ROW()-4),'98_Mapping_Technique'!$B$2:$B$5000,0)),"")</x:f>
      </x:c>
      <x:c r="F5" s="2" t="str">
        <x:f>IFERROR(INDEX('01_Catalogue_Flux'!$B$5:$B$5000,MATCH(E5,'01_Catalogue_Flux'!$A$5:$A$5000,0)),"")</x:f>
      </x:c>
      <x:c r="G5" s="2" t="str">
        <x:f>IFERROR(INDEX('01_Catalogue_Flux'!$D$5:$D$5000,MATCH(E5,'01_Catalogue_Flux'!$A$5:$A$5000,0)),"")</x:f>
      </x:c>
      <x:c r="H5" s="2" t="str">
        <x:f t="shared" ref="H5:H36" si="0">IF(D5="Non trouvé","À qualifier",IF(B5=F5,"OK","Domaine différent"))</x:f>
        <x:v>À qualifier</x:v>
      </x:c>
      <x:c r="I5" s="2" t="str">
        <x:f t="shared" ref="I5:I36" si="1">IF(D5="Non trouvé","Ajouter au catalogue",IF(H5="OK","Aucune","Vérifier le mapping"))</x:f>
        <x:v>Ajouter au catalogue</x:v>
      </x:c>
    </x:row>
    <x:row r="6" ht="15" customHeight="1">
      <x:c r="A6" s="2" t="e">
        <x:f>Reporting!#REF!</x:f>
        <x:v>#REF!</x:v>
      </x:c>
      <x:c r="B6" s="2" t="e">
        <x:f>Reporting!#REF!</x:f>
        <x:v>#REF!</x:v>
      </x:c>
      <x:c r="C6" s="2" t="e">
        <x:f>Reporting!#REF!</x:f>
        <x:v>#REF!</x:v>
      </x:c>
      <x:c r="D6" s="2" t="str">
        <x:f>IF(COUNTIF('98_Mapping_Technique'!$B$2:$B$5000,INDEX('98_Mapping_Technique'!$E$2:$E$5000,ROW()-4))&gt;0,"Trouvé","Non trouvé")</x:f>
        <x:v>Non trouvé</x:v>
      </x:c>
      <x:c r="E6" s="2" t="str">
        <x:f>IFERROR(INDEX('98_Mapping_Technique'!$A$2:$A$5000,MATCH(INDEX('98_Mapping_Technique'!$E$2:$E$5000,ROW()-4),'98_Mapping_Technique'!$B$2:$B$5000,0)),"")</x:f>
      </x:c>
      <x:c r="F6" s="2" t="str">
        <x:f>IFERROR(INDEX('01_Catalogue_Flux'!$B$5:$B$5000,MATCH(E6,'01_Catalogue_Flux'!$A$5:$A$5000,0)),"")</x:f>
      </x:c>
      <x:c r="G6" s="2" t="str">
        <x:f>IFERROR(INDEX('01_Catalogue_Flux'!$D$5:$D$5000,MATCH(E6,'01_Catalogue_Flux'!$A$5:$A$5000,0)),"")</x:f>
      </x:c>
      <x:c r="H6" s="2" t="str">
        <x:f t="shared" si="0"/>
        <x:v>À qualifier</x:v>
      </x:c>
      <x:c r="I6" s="2" t="str">
        <x:f t="shared" si="1"/>
        <x:v>Ajouter au catalogue</x:v>
      </x:c>
    </x:row>
    <x:row r="7" ht="15" customHeight="1">
      <x:c r="A7" s="2" t="e">
        <x:f>Reporting!#REF!</x:f>
        <x:v>#REF!</x:v>
      </x:c>
      <x:c r="B7" s="2" t="e">
        <x:f>Reporting!#REF!</x:f>
        <x:v>#REF!</x:v>
      </x:c>
      <x:c r="C7" s="2" t="e">
        <x:f>Reporting!#REF!</x:f>
        <x:v>#REF!</x:v>
      </x:c>
      <x:c r="D7" s="2" t="str">
        <x:f>IF(COUNTIF('98_Mapping_Technique'!$B$2:$B$5000,INDEX('98_Mapping_Technique'!$E$2:$E$5000,ROW()-4))&gt;0,"Trouvé","Non trouvé")</x:f>
        <x:v>Non trouvé</x:v>
      </x:c>
      <x:c r="E7" s="2" t="str">
        <x:f>IFERROR(INDEX('98_Mapping_Technique'!$A$2:$A$5000,MATCH(INDEX('98_Mapping_Technique'!$E$2:$E$5000,ROW()-4),'98_Mapping_Technique'!$B$2:$B$5000,0)),"")</x:f>
      </x:c>
      <x:c r="F7" s="2" t="str">
        <x:f>IFERROR(INDEX('01_Catalogue_Flux'!$B$5:$B$5000,MATCH(E7,'01_Catalogue_Flux'!$A$5:$A$5000,0)),"")</x:f>
      </x:c>
      <x:c r="G7" s="2" t="str">
        <x:f>IFERROR(INDEX('01_Catalogue_Flux'!$D$5:$D$5000,MATCH(E7,'01_Catalogue_Flux'!$A$5:$A$5000,0)),"")</x:f>
      </x:c>
      <x:c r="H7" s="2" t="str">
        <x:f t="shared" si="0"/>
        <x:v>À qualifier</x:v>
      </x:c>
      <x:c r="I7" s="2" t="str">
        <x:f t="shared" si="1"/>
        <x:v>Ajouter au catalogue</x:v>
      </x:c>
    </x:row>
    <x:row r="8" ht="15" customHeight="1">
      <x:c r="A8" s="2" t="e">
        <x:f>Reporting!#REF!</x:f>
        <x:v>#REF!</x:v>
      </x:c>
      <x:c r="B8" s="2" t="e">
        <x:f>Reporting!#REF!</x:f>
        <x:v>#REF!</x:v>
      </x:c>
      <x:c r="C8" s="2" t="e">
        <x:f>Reporting!#REF!</x:f>
        <x:v>#REF!</x:v>
      </x:c>
      <x:c r="D8" s="2" t="str">
        <x:f>IF(COUNTIF('98_Mapping_Technique'!$B$2:$B$5000,INDEX('98_Mapping_Technique'!$E$2:$E$5000,ROW()-4))&gt;0,"Trouvé","Non trouvé")</x:f>
        <x:v>Non trouvé</x:v>
      </x:c>
      <x:c r="E8" s="2" t="str">
        <x:f>IFERROR(INDEX('98_Mapping_Technique'!$A$2:$A$5000,MATCH(INDEX('98_Mapping_Technique'!$E$2:$E$5000,ROW()-4),'98_Mapping_Technique'!$B$2:$B$5000,0)),"")</x:f>
      </x:c>
      <x:c r="F8" s="2" t="str">
        <x:f>IFERROR(INDEX('01_Catalogue_Flux'!$B$5:$B$5000,MATCH(E8,'01_Catalogue_Flux'!$A$5:$A$5000,0)),"")</x:f>
      </x:c>
      <x:c r="G8" s="2" t="str">
        <x:f>IFERROR(INDEX('01_Catalogue_Flux'!$D$5:$D$5000,MATCH(E8,'01_Catalogue_Flux'!$A$5:$A$5000,0)),"")</x:f>
      </x:c>
      <x:c r="H8" s="2" t="str">
        <x:f t="shared" si="0"/>
        <x:v>À qualifier</x:v>
      </x:c>
      <x:c r="I8" s="2" t="str">
        <x:f t="shared" si="1"/>
        <x:v>Ajouter au catalogue</x:v>
      </x:c>
    </x:row>
    <x:row r="9" ht="15" customHeight="1">
      <x:c r="A9" s="2" t="e">
        <x:f>Reporting!#REF!</x:f>
        <x:v>#REF!</x:v>
      </x:c>
      <x:c r="B9" s="2" t="e">
        <x:f>Reporting!#REF!</x:f>
        <x:v>#REF!</x:v>
      </x:c>
      <x:c r="C9" s="2" t="e">
        <x:f>Reporting!#REF!</x:f>
        <x:v>#REF!</x:v>
      </x:c>
      <x:c r="D9" s="2" t="str">
        <x:f>IF(COUNTIF('98_Mapping_Technique'!$B$2:$B$5000,INDEX('98_Mapping_Technique'!$E$2:$E$5000,ROW()-4))&gt;0,"Trouvé","Non trouvé")</x:f>
        <x:v>Non trouvé</x:v>
      </x:c>
      <x:c r="E9" s="2" t="str">
        <x:f>IFERROR(INDEX('98_Mapping_Technique'!$A$2:$A$5000,MATCH(INDEX('98_Mapping_Technique'!$E$2:$E$5000,ROW()-4),'98_Mapping_Technique'!$B$2:$B$5000,0)),"")</x:f>
      </x:c>
      <x:c r="F9" s="2" t="str">
        <x:f>IFERROR(INDEX('01_Catalogue_Flux'!$B$5:$B$5000,MATCH(E9,'01_Catalogue_Flux'!$A$5:$A$5000,0)),"")</x:f>
      </x:c>
      <x:c r="G9" s="2" t="str">
        <x:f>IFERROR(INDEX('01_Catalogue_Flux'!$D$5:$D$5000,MATCH(E9,'01_Catalogue_Flux'!$A$5:$A$5000,0)),"")</x:f>
      </x:c>
      <x:c r="H9" s="2" t="str">
        <x:f t="shared" si="0"/>
        <x:v>À qualifier</x:v>
      </x:c>
      <x:c r="I9" s="2" t="str">
        <x:f t="shared" si="1"/>
        <x:v>Ajouter au catalogue</x:v>
      </x:c>
    </x:row>
    <x:row r="10" ht="15" customHeight="1">
      <x:c r="A10" s="2" t="n">
        <x:f>Reporting!C6</x:f>
        <x:v>0</x:v>
      </x:c>
      <x:c r="B10" s="2" t="str">
        <x:f>Reporting!D6</x:f>
      </x:c>
      <x:c r="C10" s="2" t="n">
        <x:f>Reporting!E6</x:f>
        <x:v>0</x:v>
      </x:c>
      <x:c r="D10" s="2" t="str">
        <x:f>IF(COUNTIF('98_Mapping_Technique'!$B$2:$B$5000,INDEX('98_Mapping_Technique'!$E$2:$E$5000,ROW()-4))&gt;0,"Trouvé","Non trouvé")</x:f>
        <x:v>Trouvé</x:v>
      </x:c>
      <x:c r="E10" s="2" t="str">
        <x:f>IFERROR(INDEX('98_Mapping_Technique'!$A$2:$A$5000,MATCH(INDEX('98_Mapping_Technique'!$E$2:$E$5000,ROW()-4),'98_Mapping_Technique'!$B$2:$B$5000,0)),"")</x:f>
        <x:v>ACQ-MM5-1</x:v>
      </x:c>
      <x:c r="F10" s="2" t="str">
        <x:f>IFERROR(INDEX('01_Catalogue_Flux'!$B$5:$B$5000,MATCH(E10,'01_Catalogue_Flux'!$A$5:$A$5000,0)),"")</x:f>
        <x:v>Acquisition</x:v>
      </x:c>
      <x:c r="G10" s="2" t="str">
        <x:f>IFERROR(INDEX('01_Catalogue_Flux'!$D$5:$D$5000,MATCH(E10,'01_Catalogue_Flux'!$A$5:$A$5000,0)),"")</x:f>
        <x:v>Onboarding</x:v>
      </x:c>
      <x:c r="H10" s="2" t="str">
        <x:f t="shared" si="0"/>
        <x:v>OK</x:v>
      </x:c>
      <x:c r="I10" s="2" t="str">
        <x:f t="shared" si="1"/>
        <x:v>Aucune</x:v>
      </x:c>
    </x:row>
    <x:row r="11" ht="15" customHeight="1">
      <x:c r="A11" s="2" t="e">
        <x:f>Reporting!#REF!</x:f>
        <x:v>#REF!</x:v>
      </x:c>
      <x:c r="B11" s="2" t="e">
        <x:f>Reporting!#REF!</x:f>
        <x:v>#REF!</x:v>
      </x:c>
      <x:c r="C11" s="2" t="e">
        <x:f>Reporting!#REF!</x:f>
        <x:v>#REF!</x:v>
      </x:c>
      <x:c r="D11" s="2" t="str">
        <x:f>IF(COUNTIF('98_Mapping_Technique'!$B$2:$B$5000,INDEX('98_Mapping_Technique'!$E$2:$E$5000,ROW()-4))&gt;0,"Trouvé","Non trouvé")</x:f>
        <x:v>Non trouvé</x:v>
      </x:c>
      <x:c r="E11" s="2" t="str">
        <x:f>IFERROR(INDEX('98_Mapping_Technique'!$A$2:$A$5000,MATCH(INDEX('98_Mapping_Technique'!$E$2:$E$5000,ROW()-4),'98_Mapping_Technique'!$B$2:$B$5000,0)),"")</x:f>
      </x:c>
      <x:c r="F11" s="2" t="str">
        <x:f>IFERROR(INDEX('01_Catalogue_Flux'!$B$5:$B$5000,MATCH(E11,'01_Catalogue_Flux'!$A$5:$A$5000,0)),"")</x:f>
      </x:c>
      <x:c r="G11" s="2" t="str">
        <x:f>IFERROR(INDEX('01_Catalogue_Flux'!$D$5:$D$5000,MATCH(E11,'01_Catalogue_Flux'!$A$5:$A$5000,0)),"")</x:f>
      </x:c>
      <x:c r="H11" s="2" t="str">
        <x:f t="shared" si="0"/>
        <x:v>À qualifier</x:v>
      </x:c>
      <x:c r="I11" s="2" t="str">
        <x:f t="shared" si="1"/>
        <x:v>Ajouter au catalogue</x:v>
      </x:c>
    </x:row>
    <x:row r="12" ht="15" customHeight="1">
      <x:c r="A12" s="2" t="e">
        <x:f>Reporting!#REF!</x:f>
        <x:v>#REF!</x:v>
      </x:c>
      <x:c r="B12" s="2" t="e">
        <x:f>Reporting!#REF!</x:f>
        <x:v>#REF!</x:v>
      </x:c>
      <x:c r="C12" s="2" t="e">
        <x:f>Reporting!#REF!</x:f>
        <x:v>#REF!</x:v>
      </x:c>
      <x:c r="D12" s="2" t="str">
        <x:f>IF(COUNTIF('98_Mapping_Technique'!$B$2:$B$5000,INDEX('98_Mapping_Technique'!$E$2:$E$5000,ROW()-4))&gt;0,"Trouvé","Non trouvé")</x:f>
        <x:v>Non trouvé</x:v>
      </x:c>
      <x:c r="E12" s="2" t="str">
        <x:f>IFERROR(INDEX('98_Mapping_Technique'!$A$2:$A$5000,MATCH(INDEX('98_Mapping_Technique'!$E$2:$E$5000,ROW()-4),'98_Mapping_Technique'!$B$2:$B$5000,0)),"")</x:f>
      </x:c>
      <x:c r="F12" s="2" t="str">
        <x:f>IFERROR(INDEX('01_Catalogue_Flux'!$B$5:$B$5000,MATCH(E12,'01_Catalogue_Flux'!$A$5:$A$5000,0)),"")</x:f>
      </x:c>
      <x:c r="G12" s="2" t="str">
        <x:f>IFERROR(INDEX('01_Catalogue_Flux'!$D$5:$D$5000,MATCH(E12,'01_Catalogue_Flux'!$A$5:$A$5000,0)),"")</x:f>
      </x:c>
      <x:c r="H12" s="2" t="str">
        <x:f t="shared" si="0"/>
        <x:v>À qualifier</x:v>
      </x:c>
      <x:c r="I12" s="2" t="str">
        <x:f t="shared" si="1"/>
        <x:v>Ajouter au catalogue</x:v>
      </x:c>
    </x:row>
    <x:row r="13" ht="15" customHeight="1">
      <x:c r="A13" s="2" t="e">
        <x:f>Reporting!#REF!</x:f>
        <x:v>#REF!</x:v>
      </x:c>
      <x:c r="B13" s="2" t="e">
        <x:f>Reporting!#REF!</x:f>
        <x:v>#REF!</x:v>
      </x:c>
      <x:c r="C13" s="2" t="e">
        <x:f>Reporting!#REF!</x:f>
        <x:v>#REF!</x:v>
      </x:c>
      <x:c r="D13" s="2" t="str">
        <x:f>IF(COUNTIF('98_Mapping_Technique'!$B$2:$B$5000,INDEX('98_Mapping_Technique'!$E$2:$E$5000,ROW()-4))&gt;0,"Trouvé","Non trouvé")</x:f>
        <x:v>Non trouvé</x:v>
      </x:c>
      <x:c r="E13" s="2" t="str">
        <x:f>IFERROR(INDEX('98_Mapping_Technique'!$A$2:$A$5000,MATCH(INDEX('98_Mapping_Technique'!$E$2:$E$5000,ROW()-4),'98_Mapping_Technique'!$B$2:$B$5000,0)),"")</x:f>
      </x:c>
      <x:c r="F13" s="2" t="str">
        <x:f>IFERROR(INDEX('01_Catalogue_Flux'!$B$5:$B$5000,MATCH(E13,'01_Catalogue_Flux'!$A$5:$A$5000,0)),"")</x:f>
      </x:c>
      <x:c r="G13" s="2" t="str">
        <x:f>IFERROR(INDEX('01_Catalogue_Flux'!$D$5:$D$5000,MATCH(E13,'01_Catalogue_Flux'!$A$5:$A$5000,0)),"")</x:f>
      </x:c>
      <x:c r="H13" s="2" t="str">
        <x:f t="shared" si="0"/>
        <x:v>À qualifier</x:v>
      </x:c>
      <x:c r="I13" s="2" t="str">
        <x:f t="shared" si="1"/>
        <x:v>Ajouter au catalogue</x:v>
      </x:c>
    </x:row>
    <x:row r="14" ht="15" customHeight="1">
      <x:c r="A14" s="2" t="e">
        <x:f>Reporting!#REF!</x:f>
        <x:v>#REF!</x:v>
      </x:c>
      <x:c r="B14" s="2" t="e">
        <x:f>Reporting!#REF!</x:f>
        <x:v>#REF!</x:v>
      </x:c>
      <x:c r="C14" s="2" t="e">
        <x:f>Reporting!#REF!</x:f>
        <x:v>#REF!</x:v>
      </x:c>
      <x:c r="D14" s="2" t="str">
        <x:f>IF(COUNTIF('98_Mapping_Technique'!$B$2:$B$5000,INDEX('98_Mapping_Technique'!$E$2:$E$5000,ROW()-4))&gt;0,"Trouvé","Non trouvé")</x:f>
        <x:v>Non trouvé</x:v>
      </x:c>
      <x:c r="E14" s="2" t="str">
        <x:f>IFERROR(INDEX('98_Mapping_Technique'!$A$2:$A$5000,MATCH(INDEX('98_Mapping_Technique'!$E$2:$E$5000,ROW()-4),'98_Mapping_Technique'!$B$2:$B$5000,0)),"")</x:f>
      </x:c>
      <x:c r="F14" s="2" t="str">
        <x:f>IFERROR(INDEX('01_Catalogue_Flux'!$B$5:$B$5000,MATCH(E14,'01_Catalogue_Flux'!$A$5:$A$5000,0)),"")</x:f>
      </x:c>
      <x:c r="G14" s="2" t="str">
        <x:f>IFERROR(INDEX('01_Catalogue_Flux'!$D$5:$D$5000,MATCH(E14,'01_Catalogue_Flux'!$A$5:$A$5000,0)),"")</x:f>
      </x:c>
      <x:c r="H14" s="2" t="str">
        <x:f t="shared" si="0"/>
        <x:v>À qualifier</x:v>
      </x:c>
      <x:c r="I14" s="2" t="str">
        <x:f t="shared" si="1"/>
        <x:v>Ajouter au catalogue</x:v>
      </x:c>
    </x:row>
    <x:row r="15" ht="15" customHeight="1">
      <x:c r="A15" s="2" t="n">
        <x:f>Reporting!C7</x:f>
        <x:v>0</x:v>
      </x:c>
      <x:c r="B15" s="2" t="str">
        <x:f>Reporting!D7</x:f>
      </x:c>
      <x:c r="C15" s="2" t="str">
        <x:f>Reporting!E7</x:f>
        <x:v>ACQUISITION</x:v>
      </x:c>
      <x:c r="D15" s="2" t="str">
        <x:f>IF(COUNTIF('98_Mapping_Technique'!$B$2:$B$5000,INDEX('98_Mapping_Technique'!$E$2:$E$5000,ROW()-4))&gt;0,"Trouvé","Non trouvé")</x:f>
        <x:v>Trouvé</x:v>
      </x:c>
      <x:c r="E15" s="2" t="str">
        <x:f>IFERROR(INDEX('98_Mapping_Technique'!$A$2:$A$5000,MATCH(INDEX('98_Mapping_Technique'!$E$2:$E$5000,ROW()-4),'98_Mapping_Technique'!$B$2:$B$5000,0)),"")</x:f>
        <x:v>ACQ-MM7</x:v>
      </x:c>
      <x:c r="F15" s="2" t="str">
        <x:f>IFERROR(INDEX('01_Catalogue_Flux'!$B$5:$B$5000,MATCH(E15,'01_Catalogue_Flux'!$A$5:$A$5000,0)),"")</x:f>
        <x:v>Acquisition</x:v>
      </x:c>
      <x:c r="G15" s="2" t="str">
        <x:f>IFERROR(INDEX('01_Catalogue_Flux'!$D$5:$D$5000,MATCH(E15,'01_Catalogue_Flux'!$A$5:$A$5000,0)),"")</x:f>
        <x:v>Onboarding</x:v>
      </x:c>
      <x:c r="H15" s="2" t="str">
        <x:f t="shared" si="0"/>
        <x:v>OK</x:v>
      </x:c>
      <x:c r="I15" s="2" t="str">
        <x:f t="shared" si="1"/>
        <x:v>Aucune</x:v>
      </x:c>
    </x:row>
    <x:row r="16" ht="15" customHeight="1">
      <x:c r="A16" s="2" t="n">
        <x:f>Reporting!C8</x:f>
        <x:v>0</x:v>
      </x:c>
      <x:c r="B16" s="2" t="n">
        <x:f>Reporting!D8</x:f>
        <x:v>0</x:v>
      </x:c>
      <x:c r="C16" s="2" t="str">
        <x:f>Reporting!E8</x:f>
        <x:v>TOTAUX</x:v>
      </x:c>
      <x:c r="D16" s="2" t="str">
        <x:f>IF(COUNTIF('98_Mapping_Technique'!$B$2:$B$5000,INDEX('98_Mapping_Technique'!$E$2:$E$5000,ROW()-4))&gt;0,"Trouvé","Non trouvé")</x:f>
        <x:v>Trouvé</x:v>
      </x:c>
      <x:c r="E16" s="2" t="str">
        <x:f>IFERROR(INDEX('98_Mapping_Technique'!$A$2:$A$5000,MATCH(INDEX('98_Mapping_Technique'!$E$2:$E$5000,ROW()-4),'98_Mapping_Technique'!$B$2:$B$5000,0)),"")</x:f>
        <x:v>ACQ-OA5-2</x:v>
      </x:c>
      <x:c r="F16" s="2" t="str">
        <x:f>IFERROR(INDEX('01_Catalogue_Flux'!$B$5:$B$5000,MATCH(E16,'01_Catalogue_Flux'!$A$5:$A$5000,0)),"")</x:f>
        <x:v>Acquisition</x:v>
      </x:c>
      <x:c r="G16" s="2" t="str">
        <x:f>IFERROR(INDEX('01_Catalogue_Flux'!$D$5:$D$5000,MATCH(E16,'01_Catalogue_Flux'!$A$5:$A$5000,0)),"")</x:f>
        <x:v>Authorize</x:v>
      </x:c>
      <x:c r="H16" s="2" t="str">
        <x:f t="shared" si="0"/>
        <x:v>OK</x:v>
      </x:c>
      <x:c r="I16" s="2" t="str">
        <x:f t="shared" si="1"/>
        <x:v>Aucune</x:v>
      </x:c>
    </x:row>
    <x:row r="17" ht="15" customHeight="1">
      <x:c r="A17" s="2" t="n">
        <x:f>Reporting!C9</x:f>
        <x:v>0</x:v>
      </x:c>
      <x:c r="B17" s="2" t="n">
        <x:f>Reporting!D9</x:f>
        <x:v>0</x:v>
      </x:c>
      <x:c r="C17" s="2" t="str">
        <x:f>Reporting!E9</x:f>
      </x:c>
      <x:c r="D17" s="2" t="str">
        <x:f>IF(COUNTIF('98_Mapping_Technique'!$B$2:$B$5000,INDEX('98_Mapping_Technique'!$E$2:$E$5000,ROW()-4))&gt;0,"Trouvé","Non trouvé")</x:f>
        <x:v>Non trouvé</x:v>
      </x:c>
      <x:c r="E17" s="2" t="str">
        <x:f>IFERROR(INDEX('98_Mapping_Technique'!$A$2:$A$5000,MATCH(INDEX('98_Mapping_Technique'!$E$2:$E$5000,ROW()-4),'98_Mapping_Technique'!$B$2:$B$5000,0)),"")</x:f>
      </x:c>
      <x:c r="F17" s="2" t="str">
        <x:f>IFERROR(INDEX('01_Catalogue_Flux'!$B$5:$B$5000,MATCH(E17,'01_Catalogue_Flux'!$A$5:$A$5000,0)),"")</x:f>
      </x:c>
      <x:c r="G17" s="2" t="str">
        <x:f>IFERROR(INDEX('01_Catalogue_Flux'!$D$5:$D$5000,MATCH(E17,'01_Catalogue_Flux'!$A$5:$A$5000,0)),"")</x:f>
      </x:c>
      <x:c r="H17" s="2" t="str">
        <x:f t="shared" si="0"/>
        <x:v>À qualifier</x:v>
      </x:c>
      <x:c r="I17" s="2" t="str">
        <x:f t="shared" si="1"/>
        <x:v>Ajouter au catalogue</x:v>
      </x:c>
    </x:row>
    <x:row r="18" ht="15" customHeight="1">
      <x:c r="A18" s="2" t="n">
        <x:f>Reporting!C10</x:f>
        <x:v>0</x:v>
      </x:c>
      <x:c r="B18" s="2" t="str">
        <x:f>Reporting!D10</x:f>
      </x:c>
      <x:c r="C18" s="2" t="n">
        <x:f>Reporting!E10</x:f>
        <x:v>0</x:v>
      </x:c>
      <x:c r="D18" s="2" t="str">
        <x:f>IF(COUNTIF('98_Mapping_Technique'!$B$2:$B$5000,INDEX('98_Mapping_Technique'!$E$2:$E$5000,ROW()-4))&gt;0,"Trouvé","Non trouvé")</x:f>
        <x:v>Non trouvé</x:v>
      </x:c>
      <x:c r="E18" s="2" t="str">
        <x:f>IFERROR(INDEX('98_Mapping_Technique'!$A$2:$A$5000,MATCH(INDEX('98_Mapping_Technique'!$E$2:$E$5000,ROW()-4),'98_Mapping_Technique'!$B$2:$B$5000,0)),"")</x:f>
      </x:c>
      <x:c r="F18" s="2" t="str">
        <x:f>IFERROR(INDEX('01_Catalogue_Flux'!$B$5:$B$5000,MATCH(E18,'01_Catalogue_Flux'!$A$5:$A$5000,0)),"")</x:f>
      </x:c>
      <x:c r="G18" s="2" t="str">
        <x:f>IFERROR(INDEX('01_Catalogue_Flux'!$D$5:$D$5000,MATCH(E18,'01_Catalogue_Flux'!$A$5:$A$5000,0)),"")</x:f>
      </x:c>
      <x:c r="H18" s="2" t="str">
        <x:f t="shared" si="0"/>
        <x:v>À qualifier</x:v>
      </x:c>
      <x:c r="I18" s="2" t="str">
        <x:f t="shared" si="1"/>
        <x:v>Ajouter au catalogue</x:v>
      </x:c>
    </x:row>
    <x:row r="19" ht="15" customHeight="1">
      <x:c r="A19" s="2" t="n">
        <x:f>Reporting!C11</x:f>
        <x:v>0</x:v>
      </x:c>
      <x:c r="B19" s="2" t="str">
        <x:f>Reporting!D11</x:f>
      </x:c>
      <x:c r="C19" s="2" t="str">
        <x:f>Reporting!E11</x:f>
        <x:v>Arbitrage</x:v>
      </x:c>
      <x:c r="D19" s="2" t="str">
        <x:f>IF(COUNTIF('98_Mapping_Technique'!$B$2:$B$5000,INDEX('98_Mapping_Technique'!$E$2:$E$5000,ROW()-4))&gt;0,"Trouvé","Non trouvé")</x:f>
        <x:v>Trouvé</x:v>
      </x:c>
      <x:c r="E19" s="2" t="str">
        <x:f>IFERROR(INDEX('98_Mapping_Technique'!$A$2:$A$5000,MATCH(INDEX('98_Mapping_Technique'!$E$2:$E$5000,ROW()-4),'98_Mapping_Technique'!$B$2:$B$5000,0)),"")</x:f>
        <x:v>Iss-CMS4_001</x:v>
      </x:c>
      <x:c r="F19" s="2" t="str">
        <x:f>IFERROR(INDEX('01_Catalogue_Flux'!$B$5:$B$5000,MATCH(E19,'01_Catalogue_Flux'!$A$5:$A$5000,0)),"")</x:f>
        <x:v>Issuing</x:v>
      </x:c>
      <x:c r="G19" s="2" t="str">
        <x:f>IFERROR(INDEX('01_Catalogue_Flux'!$D$5:$D$5000,MATCH(E19,'01_Catalogue_Flux'!$A$5:$A$5000,0)),"")</x:f>
        <x:v>Onboarding</x:v>
      </x:c>
      <x:c r="H19" s="2" t="str">
        <x:f t="shared" si="0"/>
        <x:v>OK</x:v>
      </x:c>
      <x:c r="I19" s="2" t="str">
        <x:f t="shared" si="1"/>
        <x:v>Aucune</x:v>
      </x:c>
    </x:row>
    <x:row r="20" ht="15" customHeight="1">
      <x:c r="A20" s="2" t="n">
        <x:f>Reporting!C12</x:f>
        <x:v>0</x:v>
      </x:c>
      <x:c r="B20" s="2" t="n">
        <x:f>Reporting!D12</x:f>
        <x:v>0</x:v>
      </x:c>
      <x:c r="C20" s="2" t="str">
        <x:f>Reporting!E12</x:f>
        <x:v>Id flux</x:v>
      </x:c>
      <x:c r="D20" s="2" t="str">
        <x:f>IF(COUNTIF('98_Mapping_Technique'!$B$2:$B$5000,INDEX('98_Mapping_Technique'!$E$2:$E$5000,ROW()-4))&gt;0,"Trouvé","Non trouvé")</x:f>
        <x:v>Trouvé</x:v>
      </x:c>
      <x:c r="E20" s="2" t="str">
        <x:f>IFERROR(INDEX('98_Mapping_Technique'!$A$2:$A$5000,MATCH(INDEX('98_Mapping_Technique'!$E$2:$E$5000,ROW()-4),'98_Mapping_Technique'!$B$2:$B$5000,0)),"")</x:f>
        <x:v>Iss-CMS14_001</x:v>
      </x:c>
      <x:c r="F20" s="2" t="str">
        <x:f>IFERROR(INDEX('01_Catalogue_Flux'!$B$5:$B$5000,MATCH(E20,'01_Catalogue_Flux'!$A$5:$A$5000,0)),"")</x:f>
        <x:v>Issuing</x:v>
      </x:c>
      <x:c r="G20" s="2" t="str">
        <x:f>IFERROR(INDEX('01_Catalogue_Flux'!$D$5:$D$5000,MATCH(E20,'01_Catalogue_Flux'!$A$5:$A$5000,0)),"")</x:f>
        <x:v>Onboarding</x:v>
      </x:c>
      <x:c r="H20" s="2" t="str">
        <x:f t="shared" si="0"/>
        <x:v>OK</x:v>
      </x:c>
      <x:c r="I20" s="2" t="str">
        <x:f t="shared" si="1"/>
        <x:v>Aucune</x:v>
      </x:c>
    </x:row>
    <x:row r="21" ht="15" customHeight="1">
      <x:c r="A21" s="2" t="n">
        <x:f>Reporting!C13</x:f>
        <x:v>0</x:v>
      </x:c>
      <x:c r="B21" s="2" t="str">
        <x:f>Reporting!D13</x:f>
      </x:c>
      <x:c r="C21" s="2" t="n">
        <x:f>Reporting!E13</x:f>
        <x:v>0</x:v>
      </x:c>
      <x:c r="D21" s="2" t="str">
        <x:f>IF(COUNTIF('98_Mapping_Technique'!$B$2:$B$5000,INDEX('98_Mapping_Technique'!$E$2:$E$5000,ROW()-4))&gt;0,"Trouvé","Non trouvé")</x:f>
        <x:v>Trouvé</x:v>
      </x:c>
      <x:c r="E21" s="2" t="str">
        <x:f>IFERROR(INDEX('98_Mapping_Technique'!$A$2:$A$5000,MATCH(INDEX('98_Mapping_Technique'!$E$2:$E$5000,ROW()-4),'98_Mapping_Technique'!$B$2:$B$5000,0)),"")</x:f>
        <x:v>Iss-CMS14_002</x:v>
      </x:c>
      <x:c r="F21" s="2" t="str">
        <x:f>IFERROR(INDEX('01_Catalogue_Flux'!$B$5:$B$5000,MATCH(E21,'01_Catalogue_Flux'!$A$5:$A$5000,0)),"")</x:f>
        <x:v>Issuing</x:v>
      </x:c>
      <x:c r="G21" s="2" t="str">
        <x:f>IFERROR(INDEX('01_Catalogue_Flux'!$D$5:$D$5000,MATCH(E21,'01_Catalogue_Flux'!$A$5:$A$5000,0)),"")</x:f>
        <x:v>Onboarding</x:v>
      </x:c>
      <x:c r="H21" s="2" t="str">
        <x:f t="shared" si="0"/>
        <x:v>OK</x:v>
      </x:c>
      <x:c r="I21" s="2" t="str">
        <x:f t="shared" si="1"/>
        <x:v>Aucune</x:v>
      </x:c>
    </x:row>
    <x:row r="22" ht="15" customHeight="1">
      <x:c r="A22" s="2" t="n">
        <x:f>Reporting!C14</x:f>
        <x:v>0</x:v>
      </x:c>
      <x:c r="B22" s="2" t="str">
        <x:f>Reporting!D14</x:f>
      </x:c>
      <x:c r="C22" s="2" t="str">
        <x:f>Reporting!E14</x:f>
        <x:v>ACQUISITION</x:v>
      </x:c>
      <x:c r="D22" s="2" t="str">
        <x:f>IF(COUNTIF('98_Mapping_Technique'!$B$2:$B$5000,INDEX('98_Mapping_Technique'!$E$2:$E$5000,ROW()-4))&gt;0,"Trouvé","Non trouvé")</x:f>
        <x:v>Non trouvé</x:v>
      </x:c>
      <x:c r="E22" s="2" t="str">
        <x:f>IFERROR(INDEX('98_Mapping_Technique'!$A$2:$A$5000,MATCH(INDEX('98_Mapping_Technique'!$E$2:$E$5000,ROW()-4),'98_Mapping_Technique'!$B$2:$B$5000,0)),"")</x:f>
      </x:c>
      <x:c r="F22" s="2" t="str">
        <x:f>IFERROR(INDEX('01_Catalogue_Flux'!$B$5:$B$5000,MATCH(E22,'01_Catalogue_Flux'!$A$5:$A$5000,0)),"")</x:f>
      </x:c>
      <x:c r="G22" s="2" t="str">
        <x:f>IFERROR(INDEX('01_Catalogue_Flux'!$D$5:$D$5000,MATCH(E22,'01_Catalogue_Flux'!$A$5:$A$5000,0)),"")</x:f>
      </x:c>
      <x:c r="H22" s="2" t="str">
        <x:f t="shared" si="0"/>
        <x:v>À qualifier</x:v>
      </x:c>
      <x:c r="I22" s="2" t="str">
        <x:f t="shared" si="1"/>
        <x:v>Ajouter au catalogue</x:v>
      </x:c>
    </x:row>
    <x:row r="23" ht="15" customHeight="1">
      <x:c r="A23" s="2" t="n">
        <x:f>Reporting!C15</x:f>
        <x:v>0</x:v>
      </x:c>
      <x:c r="B23" s="2" t="str">
        <x:f>Reporting!D15</x:f>
      </x:c>
      <x:c r="C23" s="2" t="str">
        <x:f>Reporting!E15</x:f>
        <x:v>TOTAUX</x:v>
      </x:c>
      <x:c r="D23" s="2" t="str">
        <x:f>IF(COUNTIF('98_Mapping_Technique'!$B$2:$B$5000,INDEX('98_Mapping_Technique'!$E$2:$E$5000,ROW()-4))&gt;0,"Trouvé","Non trouvé")</x:f>
        <x:v>Non trouvé</x:v>
      </x:c>
      <x:c r="E23" s="2" t="str">
        <x:f>IFERROR(INDEX('98_Mapping_Technique'!$A$2:$A$5000,MATCH(INDEX('98_Mapping_Technique'!$E$2:$E$5000,ROW()-4),'98_Mapping_Technique'!$B$2:$B$5000,0)),"")</x:f>
      </x:c>
      <x:c r="F23" s="2" t="str">
        <x:f>IFERROR(INDEX('01_Catalogue_Flux'!$B$5:$B$5000,MATCH(E23,'01_Catalogue_Flux'!$A$5:$A$5000,0)),"")</x:f>
      </x:c>
      <x:c r="G23" s="2" t="str">
        <x:f>IFERROR(INDEX('01_Catalogue_Flux'!$D$5:$D$5000,MATCH(E23,'01_Catalogue_Flux'!$A$5:$A$5000,0)),"")</x:f>
      </x:c>
      <x:c r="H23" s="2" t="str">
        <x:f t="shared" si="0"/>
        <x:v>À qualifier</x:v>
      </x:c>
      <x:c r="I23" s="2" t="str">
        <x:f t="shared" si="1"/>
        <x:v>Ajouter au catalogue</x:v>
      </x:c>
    </x:row>
    <x:row r="24" ht="15" customHeight="1">
      <x:c r="A24" s="2" t="n">
        <x:f>Reporting!C16</x:f>
        <x:v>0</x:v>
      </x:c>
      <x:c r="B24" s="2" t="str">
        <x:f>Reporting!D16</x:f>
      </x:c>
      <x:c r="C24" s="2" t="str">
        <x:f>Reporting!E16</x:f>
        <x:v>Env</x:v>
      </x:c>
      <x:c r="D24" s="2" t="str">
        <x:f>IF(COUNTIF('98_Mapping_Technique'!$B$2:$B$5000,INDEX('98_Mapping_Technique'!$E$2:$E$5000,ROW()-4))&gt;0,"Trouvé","Non trouvé")</x:f>
        <x:v>Non trouvé</x:v>
      </x:c>
      <x:c r="E24" s="2" t="str">
        <x:f>IFERROR(INDEX('98_Mapping_Technique'!$A$2:$A$5000,MATCH(INDEX('98_Mapping_Technique'!$E$2:$E$5000,ROW()-4),'98_Mapping_Technique'!$B$2:$B$5000,0)),"")</x:f>
      </x:c>
      <x:c r="F24" s="2" t="str">
        <x:f>IFERROR(INDEX('01_Catalogue_Flux'!$B$5:$B$5000,MATCH(E24,'01_Catalogue_Flux'!$A$5:$A$5000,0)),"")</x:f>
      </x:c>
      <x:c r="G24" s="2" t="str">
        <x:f>IFERROR(INDEX('01_Catalogue_Flux'!$D$5:$D$5000,MATCH(E24,'01_Catalogue_Flux'!$A$5:$A$5000,0)),"")</x:f>
      </x:c>
      <x:c r="H24" s="2" t="str">
        <x:f t="shared" si="0"/>
        <x:v>À qualifier</x:v>
      </x:c>
      <x:c r="I24" s="2" t="str">
        <x:f t="shared" si="1"/>
        <x:v>Ajouter au catalogue</x:v>
      </x:c>
    </x:row>
    <x:row r="25" ht="15" customHeight="1">
      <x:c r="A25" s="2" t="n">
        <x:f>Reporting!C17</x:f>
        <x:v>0</x:v>
      </x:c>
      <x:c r="B25" s="2" t="str">
        <x:f>Reporting!D17</x:f>
      </x:c>
      <x:c r="C25" s="2" t="str">
        <x:f>Reporting!E17</x:f>
        <x:v>SIT</x:v>
      </x:c>
      <x:c r="D25" s="2" t="str">
        <x:f>IF(COUNTIF('98_Mapping_Technique'!$B$2:$B$5000,INDEX('98_Mapping_Technique'!$E$2:$E$5000,ROW()-4))&gt;0,"Trouvé","Non trouvé")</x:f>
        <x:v>Non trouvé</x:v>
      </x:c>
      <x:c r="E25" s="2" t="str">
        <x:f>IFERROR(INDEX('98_Mapping_Technique'!$A$2:$A$5000,MATCH(INDEX('98_Mapping_Technique'!$E$2:$E$5000,ROW()-4),'98_Mapping_Technique'!$B$2:$B$5000,0)),"")</x:f>
      </x:c>
      <x:c r="F25" s="2" t="str">
        <x:f>IFERROR(INDEX('01_Catalogue_Flux'!$B$5:$B$5000,MATCH(E25,'01_Catalogue_Flux'!$A$5:$A$5000,0)),"")</x:f>
      </x:c>
      <x:c r="G25" s="2" t="str">
        <x:f>IFERROR(INDEX('01_Catalogue_Flux'!$D$5:$D$5000,MATCH(E25,'01_Catalogue_Flux'!$A$5:$A$5000,0)),"")</x:f>
      </x:c>
      <x:c r="H25" s="2" t="str">
        <x:f t="shared" si="0"/>
        <x:v>À qualifier</x:v>
      </x:c>
      <x:c r="I25" s="2" t="str">
        <x:f t="shared" si="1"/>
        <x:v>Ajouter au catalogue</x:v>
      </x:c>
    </x:row>
    <x:row r="26" ht="15" customHeight="1">
      <x:c r="A26" s="2" t="n">
        <x:f>Reporting!C18</x:f>
        <x:v>0</x:v>
      </x:c>
      <x:c r="B26" s="2" t="str">
        <x:f>Reporting!D18</x:f>
      </x:c>
      <x:c r="C26" s="2" t="str">
        <x:f>Reporting!E18</x:f>
        <x:v>UAT</x:v>
      </x:c>
      <x:c r="D26" s="2" t="str">
        <x:f>IF(COUNTIF('98_Mapping_Technique'!$B$2:$B$5000,INDEX('98_Mapping_Technique'!$E$2:$E$5000,ROW()-4))&gt;0,"Trouvé","Non trouvé")</x:f>
        <x:v>Trouvé</x:v>
      </x:c>
      <x:c r="E26" s="2" t="str">
        <x:f>IFERROR(INDEX('98_Mapping_Technique'!$A$2:$A$5000,MATCH(INDEX('98_Mapping_Technique'!$E$2:$E$5000,ROW()-4),'98_Mapping_Technique'!$B$2:$B$5000,0)),"")</x:f>
        <x:v>Iss-OA3_002</x:v>
      </x:c>
      <x:c r="F26" s="2" t="str">
        <x:f>IFERROR(INDEX('01_Catalogue_Flux'!$B$5:$B$5000,MATCH(E26,'01_Catalogue_Flux'!$A$5:$A$5000,0)),"")</x:f>
        <x:v>Issuing</x:v>
      </x:c>
      <x:c r="G26" s="2" t="str">
        <x:f>IFERROR(INDEX('01_Catalogue_Flux'!$D$5:$D$5000,MATCH(E26,'01_Catalogue_Flux'!$A$5:$A$5000,0)),"")</x:f>
        <x:v>Authorize / Paiement</x:v>
      </x:c>
      <x:c r="H26" s="2" t="str">
        <x:f t="shared" si="0"/>
        <x:v>OK</x:v>
      </x:c>
      <x:c r="I26" s="2" t="str">
        <x:f t="shared" si="1"/>
        <x:v>Aucune</x:v>
      </x:c>
    </x:row>
    <x:row r="27" ht="15" customHeight="1">
      <x:c r="A27" s="2" t="n">
        <x:f>Reporting!C19</x:f>
        <x:v>0</x:v>
      </x:c>
      <x:c r="B27" s="2" t="str">
        <x:f>Reporting!D19</x:f>
      </x:c>
      <x:c r="C27" s="2" t="str">
        <x:f>Reporting!E19</x:f>
        <x:v>Arbitrage</x:v>
      </x:c>
      <x:c r="D27" s="2" t="str">
        <x:f>IF(COUNTIF('98_Mapping_Technique'!$B$2:$B$5000,INDEX('98_Mapping_Technique'!$E$2:$E$5000,ROW()-4))&gt;0,"Trouvé","Non trouvé")</x:f>
        <x:v>Non trouvé</x:v>
      </x:c>
      <x:c r="E27" s="2" t="str">
        <x:f>IFERROR(INDEX('98_Mapping_Technique'!$A$2:$A$5000,MATCH(INDEX('98_Mapping_Technique'!$E$2:$E$5000,ROW()-4),'98_Mapping_Technique'!$B$2:$B$5000,0)),"")</x:f>
      </x:c>
      <x:c r="F27" s="2" t="str">
        <x:f>IFERROR(INDEX('01_Catalogue_Flux'!$B$5:$B$5000,MATCH(E27,'01_Catalogue_Flux'!$A$5:$A$5000,0)),"")</x:f>
      </x:c>
      <x:c r="G27" s="2" t="str">
        <x:f>IFERROR(INDEX('01_Catalogue_Flux'!$D$5:$D$5000,MATCH(E27,'01_Catalogue_Flux'!$A$5:$A$5000,0)),"")</x:f>
      </x:c>
      <x:c r="H27" s="2" t="str">
        <x:f t="shared" si="0"/>
        <x:v>À qualifier</x:v>
      </x:c>
      <x:c r="I27" s="2" t="str">
        <x:f t="shared" si="1"/>
        <x:v>Ajouter au catalogue</x:v>
      </x:c>
    </x:row>
    <x:row r="28" ht="15" customHeight="1">
      <x:c r="A28" s="2" t="n">
        <x:f>Reporting!C20</x:f>
        <x:v>0</x:v>
      </x:c>
      <x:c r="B28" s="2" t="n">
        <x:f>Reporting!D20</x:f>
        <x:v>0</x:v>
      </x:c>
      <x:c r="C28" s="2" t="str">
        <x:f>Reporting!E20</x:f>
        <x:v>Id flux</x:v>
      </x:c>
      <x:c r="D28" s="2" t="str">
        <x:f>IF(COUNTIF('98_Mapping_Technique'!$B$2:$B$5000,INDEX('98_Mapping_Technique'!$E$2:$E$5000,ROW()-4))&gt;0,"Trouvé","Non trouvé")</x:f>
        <x:v>Non trouvé</x:v>
      </x:c>
      <x:c r="E28" s="2" t="str">
        <x:f>IFERROR(INDEX('98_Mapping_Technique'!$A$2:$A$5000,MATCH(INDEX('98_Mapping_Technique'!$E$2:$E$5000,ROW()-4),'98_Mapping_Technique'!$B$2:$B$5000,0)),"")</x:f>
      </x:c>
      <x:c r="F28" s="2" t="str">
        <x:f>IFERROR(INDEX('01_Catalogue_Flux'!$B$5:$B$5000,MATCH(E28,'01_Catalogue_Flux'!$A$5:$A$5000,0)),"")</x:f>
      </x:c>
      <x:c r="G28" s="2" t="str">
        <x:f>IFERROR(INDEX('01_Catalogue_Flux'!$D$5:$D$5000,MATCH(E28,'01_Catalogue_Flux'!$A$5:$A$5000,0)),"")</x:f>
      </x:c>
      <x:c r="H28" s="2" t="str">
        <x:f t="shared" si="0"/>
        <x:v>À qualifier</x:v>
      </x:c>
      <x:c r="I28" s="2" t="str">
        <x:f t="shared" si="1"/>
        <x:v>Ajouter au catalogue</x:v>
      </x:c>
    </x:row>
    <x:row r="29" ht="15" customHeight="1">
      <x:c r="A29" s="2" t="n">
        <x:f>Reporting!C21</x:f>
        <x:v>0</x:v>
      </x:c>
      <x:c r="B29" s="2" t="n">
        <x:f>Reporting!D21</x:f>
        <x:v>0</x:v>
      </x:c>
      <x:c r="C29" s="2" t="n">
        <x:f>Reporting!E21</x:f>
        <x:v>0</x:v>
      </x:c>
      <x:c r="D29" s="2" t="str">
        <x:f>IF(COUNTIF('98_Mapping_Technique'!$B$2:$B$5000,INDEX('98_Mapping_Technique'!$E$2:$E$5000,ROW()-4))&gt;0,"Trouvé","Non trouvé")</x:f>
        <x:v>Non trouvé</x:v>
      </x:c>
      <x:c r="E29" s="2" t="str">
        <x:f>IFERROR(INDEX('98_Mapping_Technique'!$A$2:$A$5000,MATCH(INDEX('98_Mapping_Technique'!$E$2:$E$5000,ROW()-4),'98_Mapping_Technique'!$B$2:$B$5000,0)),"")</x:f>
      </x:c>
      <x:c r="F29" s="2" t="str">
        <x:f>IFERROR(INDEX('01_Catalogue_Flux'!$B$5:$B$5000,MATCH(E29,'01_Catalogue_Flux'!$A$5:$A$5000,0)),"")</x:f>
      </x:c>
      <x:c r="G29" s="2" t="str">
        <x:f>IFERROR(INDEX('01_Catalogue_Flux'!$D$5:$D$5000,MATCH(E29,'01_Catalogue_Flux'!$A$5:$A$5000,0)),"")</x:f>
      </x:c>
      <x:c r="H29" s="2" t="str">
        <x:f t="shared" si="0"/>
        <x:v>À qualifier</x:v>
      </x:c>
      <x:c r="I29" s="2" t="str">
        <x:f t="shared" si="1"/>
        <x:v>Ajouter au catalogue</x:v>
      </x:c>
    </x:row>
    <x:row r="30" ht="15" customHeight="1">
      <x:c r="A30" s="2" t="n">
        <x:f>Reporting!C22</x:f>
        <x:v>0</x:v>
      </x:c>
      <x:c r="B30" s="2" t="n">
        <x:f>Reporting!D22</x:f>
        <x:v>0</x:v>
      </x:c>
      <x:c r="C30" s="2" t="n">
        <x:f>Reporting!E22</x:f>
        <x:v>0</x:v>
      </x:c>
      <x:c r="D30" s="2" t="str">
        <x:f>IF(COUNTIF('98_Mapping_Technique'!$B$2:$B$5000,INDEX('98_Mapping_Technique'!$E$2:$E$5000,ROW()-4))&gt;0,"Trouvé","Non trouvé")</x:f>
        <x:v>Non trouvé</x:v>
      </x:c>
      <x:c r="E30" s="2" t="str">
        <x:f>IFERROR(INDEX('98_Mapping_Technique'!$A$2:$A$5000,MATCH(INDEX('98_Mapping_Technique'!$E$2:$E$5000,ROW()-4),'98_Mapping_Technique'!$B$2:$B$5000,0)),"")</x:f>
      </x:c>
      <x:c r="F30" s="2" t="str">
        <x:f>IFERROR(INDEX('01_Catalogue_Flux'!$B$5:$B$5000,MATCH(E30,'01_Catalogue_Flux'!$A$5:$A$5000,0)),"")</x:f>
      </x:c>
      <x:c r="G30" s="2" t="str">
        <x:f>IFERROR(INDEX('01_Catalogue_Flux'!$D$5:$D$5000,MATCH(E30,'01_Catalogue_Flux'!$A$5:$A$5000,0)),"")</x:f>
      </x:c>
      <x:c r="H30" s="2" t="str">
        <x:f t="shared" si="0"/>
        <x:v>À qualifier</x:v>
      </x:c>
      <x:c r="I30" s="2" t="str">
        <x:f t="shared" si="1"/>
        <x:v>Ajouter au catalogue</x:v>
      </x:c>
    </x:row>
    <x:row r="31" ht="15" customHeight="1">
      <x:c r="A31" s="2" t="n">
        <x:f>Reporting!C23</x:f>
        <x:v>0</x:v>
      </x:c>
      <x:c r="B31" s="2" t="n">
        <x:f>Reporting!D23</x:f>
        <x:v>0</x:v>
      </x:c>
      <x:c r="C31" s="2" t="n">
        <x:f>Reporting!E23</x:f>
        <x:v>0</x:v>
      </x:c>
      <x:c r="D31" s="2" t="str">
        <x:f>IF(COUNTIF('98_Mapping_Technique'!$B$2:$B$5000,INDEX('98_Mapping_Technique'!$E$2:$E$5000,ROW()-4))&gt;0,"Trouvé","Non trouvé")</x:f>
        <x:v>Non trouvé</x:v>
      </x:c>
      <x:c r="E31" s="2" t="str">
        <x:f>IFERROR(INDEX('98_Mapping_Technique'!$A$2:$A$5000,MATCH(INDEX('98_Mapping_Technique'!$E$2:$E$5000,ROW()-4),'98_Mapping_Technique'!$B$2:$B$5000,0)),"")</x:f>
      </x:c>
      <x:c r="F31" s="2" t="str">
        <x:f>IFERROR(INDEX('01_Catalogue_Flux'!$B$5:$B$5000,MATCH(E31,'01_Catalogue_Flux'!$A$5:$A$5000,0)),"")</x:f>
      </x:c>
      <x:c r="G31" s="2" t="str">
        <x:f>IFERROR(INDEX('01_Catalogue_Flux'!$D$5:$D$5000,MATCH(E31,'01_Catalogue_Flux'!$A$5:$A$5000,0)),"")</x:f>
      </x:c>
      <x:c r="H31" s="2" t="str">
        <x:f t="shared" si="0"/>
        <x:v>À qualifier</x:v>
      </x:c>
      <x:c r="I31" s="2" t="str">
        <x:f t="shared" si="1"/>
        <x:v>Ajouter au catalogue</x:v>
      </x:c>
    </x:row>
    <x:row r="32" ht="15" customHeight="1">
      <x:c r="A32" s="2" t="n">
        <x:f>Reporting!C24</x:f>
        <x:v>0</x:v>
      </x:c>
      <x:c r="B32" s="2" t="n">
        <x:f>Reporting!D24</x:f>
        <x:v>0</x:v>
      </x:c>
      <x:c r="C32" s="2" t="n">
        <x:f>Reporting!E24</x:f>
        <x:v>0</x:v>
      </x:c>
      <x:c r="D32" s="2" t="str">
        <x:f>IF(COUNTIF('98_Mapping_Technique'!$B$2:$B$5000,INDEX('98_Mapping_Technique'!$E$2:$E$5000,ROW()-4))&gt;0,"Trouvé","Non trouvé")</x:f>
        <x:v>Non trouvé</x:v>
      </x:c>
      <x:c r="E32" s="2" t="str">
        <x:f>IFERROR(INDEX('98_Mapping_Technique'!$A$2:$A$5000,MATCH(INDEX('98_Mapping_Technique'!$E$2:$E$5000,ROW()-4),'98_Mapping_Technique'!$B$2:$B$5000,0)),"")</x:f>
      </x:c>
      <x:c r="F32" s="2" t="str">
        <x:f>IFERROR(INDEX('01_Catalogue_Flux'!$B$5:$B$5000,MATCH(E32,'01_Catalogue_Flux'!$A$5:$A$5000,0)),"")</x:f>
      </x:c>
      <x:c r="G32" s="2" t="str">
        <x:f>IFERROR(INDEX('01_Catalogue_Flux'!$D$5:$D$5000,MATCH(E32,'01_Catalogue_Flux'!$A$5:$A$5000,0)),"")</x:f>
      </x:c>
      <x:c r="H32" s="2" t="str">
        <x:f t="shared" si="0"/>
        <x:v>À qualifier</x:v>
      </x:c>
      <x:c r="I32" s="2" t="str">
        <x:f t="shared" si="1"/>
        <x:v>Ajouter au catalogue</x:v>
      </x:c>
    </x:row>
    <x:row r="33" ht="15" customHeight="1">
      <x:c r="A33" s="2" t="n">
        <x:f>Reporting!C25</x:f>
        <x:v>0</x:v>
      </x:c>
      <x:c r="B33" s="2" t="n">
        <x:f>Reporting!D25</x:f>
        <x:v>0</x:v>
      </x:c>
      <x:c r="C33" s="2" t="n">
        <x:f>Reporting!E25</x:f>
        <x:v>0</x:v>
      </x:c>
      <x:c r="D33" s="2" t="str">
        <x:f>IF(COUNTIF('98_Mapping_Technique'!$B$2:$B$5000,INDEX('98_Mapping_Technique'!$E$2:$E$5000,ROW()-4))&gt;0,"Trouvé","Non trouvé")</x:f>
        <x:v>Trouvé</x:v>
      </x:c>
      <x:c r="E33" s="2" t="str">
        <x:f>IFERROR(INDEX('98_Mapping_Technique'!$A$2:$A$5000,MATCH(INDEX('98_Mapping_Technique'!$E$2:$E$5000,ROW()-4),'98_Mapping_Technique'!$B$2:$B$5000,0)),"")</x:f>
        <x:v>ACQ-MM4-1</x:v>
      </x:c>
      <x:c r="F33" s="2" t="str">
        <x:f>IFERROR(INDEX('01_Catalogue_Flux'!$B$5:$B$5000,MATCH(E33,'01_Catalogue_Flux'!$A$5:$A$5000,0)),"")</x:f>
        <x:v>Acquisition</x:v>
      </x:c>
      <x:c r="G33" s="2" t="str">
        <x:f>IFERROR(INDEX('01_Catalogue_Flux'!$D$5:$D$5000,MATCH(E33,'01_Catalogue_Flux'!$A$5:$A$5000,0)),"")</x:f>
        <x:v>Onboarding</x:v>
      </x:c>
      <x:c r="H33" s="2" t="str">
        <x:f t="shared" si="0"/>
        <x:v>OK</x:v>
      </x:c>
      <x:c r="I33" s="2" t="str">
        <x:f t="shared" si="1"/>
        <x:v>Aucune</x:v>
      </x:c>
    </x:row>
    <x:row r="34" ht="15" customHeight="1">
      <x:c r="A34" s="2" t="n">
        <x:f>Reporting!C26</x:f>
        <x:v>0</x:v>
      </x:c>
      <x:c r="B34" s="2" t="n">
        <x:f>Reporting!D26</x:f>
        <x:v>0</x:v>
      </x:c>
      <x:c r="C34" s="2" t="n">
        <x:f>Reporting!E26</x:f>
        <x:v>0</x:v>
      </x:c>
      <x:c r="D34" s="2" t="str">
        <x:f>IF(COUNTIF('98_Mapping_Technique'!$B$2:$B$5000,INDEX('98_Mapping_Technique'!$E$2:$E$5000,ROW()-4))&gt;0,"Trouvé","Non trouvé")</x:f>
        <x:v>Trouvé</x:v>
      </x:c>
      <x:c r="E34" s="2" t="str">
        <x:f>IFERROR(INDEX('98_Mapping_Technique'!$A$2:$A$5000,MATCH(INDEX('98_Mapping_Technique'!$E$2:$E$5000,ROW()-4),'98_Mapping_Technique'!$B$2:$B$5000,0)),"")</x:f>
        <x:v>ACQ-MM4-2</x:v>
      </x:c>
      <x:c r="F34" s="2" t="str">
        <x:f>IFERROR(INDEX('01_Catalogue_Flux'!$B$5:$B$5000,MATCH(E34,'01_Catalogue_Flux'!$A$5:$A$5000,0)),"")</x:f>
        <x:v>Acquisition</x:v>
      </x:c>
      <x:c r="G34" s="2" t="str">
        <x:f>IFERROR(INDEX('01_Catalogue_Flux'!$D$5:$D$5000,MATCH(E34,'01_Catalogue_Flux'!$A$5:$A$5000,0)),"")</x:f>
        <x:v>Onboarding</x:v>
      </x:c>
      <x:c r="H34" s="2" t="str">
        <x:f t="shared" si="0"/>
        <x:v>OK</x:v>
      </x:c>
      <x:c r="I34" s="2" t="str">
        <x:f t="shared" si="1"/>
        <x:v>Aucune</x:v>
      </x:c>
    </x:row>
    <x:row r="35" ht="15" customHeight="1">
      <x:c r="A35" s="2" t="n">
        <x:f>Reporting!C27</x:f>
        <x:v>0</x:v>
      </x:c>
      <x:c r="B35" s="2" t="n">
        <x:f>Reporting!D27</x:f>
        <x:v>0</x:v>
      </x:c>
      <x:c r="C35" s="2" t="n">
        <x:f>Reporting!E27</x:f>
        <x:v>0</x:v>
      </x:c>
      <x:c r="D35" s="2" t="str">
        <x:f>IF(COUNTIF('98_Mapping_Technique'!$B$2:$B$5000,INDEX('98_Mapping_Technique'!$E$2:$E$5000,ROW()-4))&gt;0,"Trouvé","Non trouvé")</x:f>
        <x:v>Trouvé</x:v>
      </x:c>
      <x:c r="E35" s="2" t="str">
        <x:f>IFERROR(INDEX('98_Mapping_Technique'!$A$2:$A$5000,MATCH(INDEX('98_Mapping_Technique'!$E$2:$E$5000,ROW()-4),'98_Mapping_Technique'!$B$2:$B$5000,0)),"")</x:f>
        <x:v>ACQ-MM4-3</x:v>
      </x:c>
      <x:c r="F35" s="2" t="str">
        <x:f>IFERROR(INDEX('01_Catalogue_Flux'!$B$5:$B$5000,MATCH(E35,'01_Catalogue_Flux'!$A$5:$A$5000,0)),"")</x:f>
        <x:v>Acquisition</x:v>
      </x:c>
      <x:c r="G35" s="2" t="str">
        <x:f>IFERROR(INDEX('01_Catalogue_Flux'!$D$5:$D$5000,MATCH(E35,'01_Catalogue_Flux'!$A$5:$A$5000,0)),"")</x:f>
        <x:v>Onboarding</x:v>
      </x:c>
      <x:c r="H35" s="2" t="str">
        <x:f t="shared" si="0"/>
        <x:v>OK</x:v>
      </x:c>
      <x:c r="I35" s="2" t="str">
        <x:f t="shared" si="1"/>
        <x:v>Aucune</x:v>
      </x:c>
    </x:row>
    <x:row r="36" ht="15" customHeight="1">
      <x:c r="A36" s="2" t="n">
        <x:f>Reporting!C28</x:f>
        <x:v>0</x:v>
      </x:c>
      <x:c r="B36" s="2" t="n">
        <x:f>Reporting!D28</x:f>
        <x:v>0</x:v>
      </x:c>
      <x:c r="C36" s="2" t="n">
        <x:f>Reporting!E28</x:f>
        <x:v>0</x:v>
      </x:c>
      <x:c r="D36" s="2" t="str">
        <x:f>IF(COUNTIF('98_Mapping_Technique'!$B$2:$B$5000,INDEX('98_Mapping_Technique'!$E$2:$E$5000,ROW()-4))&gt;0,"Trouvé","Non trouvé")</x:f>
        <x:v>Trouvé</x:v>
      </x:c>
      <x:c r="E36" s="2" t="str">
        <x:f>IFERROR(INDEX('98_Mapping_Technique'!$A$2:$A$5000,MATCH(INDEX('98_Mapping_Technique'!$E$2:$E$5000,ROW()-4),'98_Mapping_Technique'!$B$2:$B$5000,0)),"")</x:f>
        <x:v>ACQ-MM4-4</x:v>
      </x:c>
      <x:c r="F36" s="2" t="str">
        <x:f>IFERROR(INDEX('01_Catalogue_Flux'!$B$5:$B$5000,MATCH(E36,'01_Catalogue_Flux'!$A$5:$A$5000,0)),"")</x:f>
        <x:v>Acquisition</x:v>
      </x:c>
      <x:c r="G36" s="2" t="str">
        <x:f>IFERROR(INDEX('01_Catalogue_Flux'!$D$5:$D$5000,MATCH(E36,'01_Catalogue_Flux'!$A$5:$A$5000,0)),"")</x:f>
        <x:v>Onboarding</x:v>
      </x:c>
      <x:c r="H36" s="2" t="str">
        <x:f t="shared" si="0"/>
        <x:v>OK</x:v>
      </x:c>
      <x:c r="I36" s="2" t="str">
        <x:f t="shared" si="1"/>
        <x:v>Aucune</x:v>
      </x:c>
    </x:row>
    <x:row r="37" ht="15" customHeight="1">
      <x:c r="A37" s="2" t="n">
        <x:f>Reporting!C29</x:f>
        <x:v>0</x:v>
      </x:c>
      <x:c r="B37" s="2" t="n">
        <x:f>Reporting!D29</x:f>
        <x:v>0</x:v>
      </x:c>
      <x:c r="C37" s="2" t="n">
        <x:f>Reporting!E29</x:f>
        <x:v>0</x:v>
      </x:c>
      <x:c r="D37" s="2" t="str">
        <x:f>IF(COUNTIF('98_Mapping_Technique'!$B$2:$B$5000,INDEX('98_Mapping_Technique'!$E$2:$E$5000,ROW()-4))&gt;0,"Trouvé","Non trouvé")</x:f>
        <x:v>Non trouvé</x:v>
      </x:c>
      <x:c r="E37" s="2" t="str">
        <x:f>IFERROR(INDEX('98_Mapping_Technique'!$A$2:$A$5000,MATCH(INDEX('98_Mapping_Technique'!$E$2:$E$5000,ROW()-4),'98_Mapping_Technique'!$B$2:$B$5000,0)),"")</x:f>
      </x:c>
      <x:c r="F37" s="2" t="str">
        <x:f>IFERROR(INDEX('01_Catalogue_Flux'!$B$5:$B$5000,MATCH(E37,'01_Catalogue_Flux'!$A$5:$A$5000,0)),"")</x:f>
      </x:c>
      <x:c r="G37" s="2" t="str">
        <x:f>IFERROR(INDEX('01_Catalogue_Flux'!$D$5:$D$5000,MATCH(E37,'01_Catalogue_Flux'!$A$5:$A$5000,0)),"")</x:f>
      </x:c>
      <x:c r="H37" s="2" t="str">
        <x:f t="shared" ref="H37:H68" si="2">IF(D37="Non trouvé","À qualifier",IF(B37=F37,"OK","Domaine différent"))</x:f>
        <x:v>À qualifier</x:v>
      </x:c>
      <x:c r="I37" s="2" t="str">
        <x:f t="shared" ref="I37:I68" si="3">IF(D37="Non trouvé","Ajouter au catalogue",IF(H37="OK","Aucune","Vérifier le mapping"))</x:f>
        <x:v>Ajouter au catalogue</x:v>
      </x:c>
    </x:row>
    <x:row r="38" ht="15" customHeight="1">
      <x:c r="A38" s="2" t="n">
        <x:f>Reporting!C30</x:f>
        <x:v>0</x:v>
      </x:c>
      <x:c r="B38" s="2" t="n">
        <x:f>Reporting!D30</x:f>
        <x:v>0</x:v>
      </x:c>
      <x:c r="C38" s="2" t="n">
        <x:f>Reporting!E30</x:f>
        <x:v>0</x:v>
      </x:c>
      <x:c r="D38" s="2" t="str">
        <x:f>IF(COUNTIF('98_Mapping_Technique'!$B$2:$B$5000,INDEX('98_Mapping_Technique'!$E$2:$E$5000,ROW()-4))&gt;0,"Trouvé","Non trouvé")</x:f>
        <x:v>Trouvé</x:v>
      </x:c>
      <x:c r="E38" s="2" t="str">
        <x:f>IFERROR(INDEX('98_Mapping_Technique'!$A$2:$A$5000,MATCH(INDEX('98_Mapping_Technique'!$E$2:$E$5000,ROW()-4),'98_Mapping_Technique'!$B$2:$B$5000,0)),"")</x:f>
        <x:v>ACQ-MM5-1</x:v>
      </x:c>
      <x:c r="F38" s="2" t="str">
        <x:f>IFERROR(INDEX('01_Catalogue_Flux'!$B$5:$B$5000,MATCH(E38,'01_Catalogue_Flux'!$A$5:$A$5000,0)),"")</x:f>
        <x:v>Acquisition</x:v>
      </x:c>
      <x:c r="G38" s="2" t="str">
        <x:f>IFERROR(INDEX('01_Catalogue_Flux'!$D$5:$D$5000,MATCH(E38,'01_Catalogue_Flux'!$A$5:$A$5000,0)),"")</x:f>
        <x:v>Onboarding</x:v>
      </x:c>
      <x:c r="H38" s="2" t="str">
        <x:f t="shared" si="2"/>
        <x:v>OK</x:v>
      </x:c>
      <x:c r="I38" s="2" t="str">
        <x:f t="shared" si="3"/>
        <x:v>Aucune</x:v>
      </x:c>
    </x:row>
    <x:row r="39" ht="15" customHeight="1">
      <x:c r="A39" s="2" t="n">
        <x:f>Reporting!C31</x:f>
        <x:v>0</x:v>
      </x:c>
      <x:c r="B39" s="2" t="n">
        <x:f>Reporting!D31</x:f>
        <x:v>0</x:v>
      </x:c>
      <x:c r="C39" s="2" t="n">
        <x:f>Reporting!E31</x:f>
        <x:v>0</x:v>
      </x:c>
      <x:c r="D39" s="2" t="str">
        <x:f>IF(COUNTIF('98_Mapping_Technique'!$B$2:$B$5000,INDEX('98_Mapping_Technique'!$E$2:$E$5000,ROW()-4))&gt;0,"Trouvé","Non trouvé")</x:f>
        <x:v>Trouvé</x:v>
      </x:c>
      <x:c r="E39" s="2" t="str">
        <x:f>IFERROR(INDEX('98_Mapping_Technique'!$A$2:$A$5000,MATCH(INDEX('98_Mapping_Technique'!$E$2:$E$5000,ROW()-4),'98_Mapping_Technique'!$B$2:$B$5000,0)),"")</x:f>
        <x:v>ACQ-MM5-2</x:v>
      </x:c>
      <x:c r="F39" s="2" t="str">
        <x:f>IFERROR(INDEX('01_Catalogue_Flux'!$B$5:$B$5000,MATCH(E39,'01_Catalogue_Flux'!$A$5:$A$5000,0)),"")</x:f>
        <x:v>Acquisition</x:v>
      </x:c>
      <x:c r="G39" s="2" t="str">
        <x:f>IFERROR(INDEX('01_Catalogue_Flux'!$D$5:$D$5000,MATCH(E39,'01_Catalogue_Flux'!$A$5:$A$5000,0)),"")</x:f>
        <x:v>Onboarding</x:v>
      </x:c>
      <x:c r="H39" s="2" t="str">
        <x:f t="shared" si="2"/>
        <x:v>OK</x:v>
      </x:c>
      <x:c r="I39" s="2" t="str">
        <x:f t="shared" si="3"/>
        <x:v>Aucune</x:v>
      </x:c>
    </x:row>
    <x:row r="40" ht="15" customHeight="1">
      <x:c r="A40" s="2" t="str">
        <x:f>Reporting!C32</x:f>
      </x:c>
      <x:c r="B40" s="2" t="n">
        <x:f>Reporting!D32</x:f>
        <x:v>0</x:v>
      </x:c>
      <x:c r="C40" s="2" t="n">
        <x:f>Reporting!E32</x:f>
        <x:v>0</x:v>
      </x:c>
      <x:c r="D40" s="2" t="str">
        <x:f>IF(COUNTIF('98_Mapping_Technique'!$B$2:$B$5000,INDEX('98_Mapping_Technique'!$E$2:$E$5000,ROW()-4))&gt;0,"Trouvé","Non trouvé")</x:f>
        <x:v>Trouvé</x:v>
      </x:c>
      <x:c r="E40" s="2" t="str">
        <x:f>IFERROR(INDEX('98_Mapping_Technique'!$A$2:$A$5000,MATCH(INDEX('98_Mapping_Technique'!$E$2:$E$5000,ROW()-4),'98_Mapping_Technique'!$B$2:$B$5000,0)),"")</x:f>
        <x:v>ACQ-MM5-3</x:v>
      </x:c>
      <x:c r="F40" s="2" t="str">
        <x:f>IFERROR(INDEX('01_Catalogue_Flux'!$B$5:$B$5000,MATCH(E40,'01_Catalogue_Flux'!$A$5:$A$5000,0)),"")</x:f>
        <x:v>Acquisition</x:v>
      </x:c>
      <x:c r="G40" s="2" t="str">
        <x:f>IFERROR(INDEX('01_Catalogue_Flux'!$D$5:$D$5000,MATCH(E40,'01_Catalogue_Flux'!$A$5:$A$5000,0)),"")</x:f>
        <x:v>Onboarding</x:v>
      </x:c>
      <x:c r="H40" s="2" t="str">
        <x:f t="shared" si="2"/>
        <x:v>OK</x:v>
      </x:c>
      <x:c r="I40" s="2" t="str">
        <x:f t="shared" si="3"/>
        <x:v>Aucune</x:v>
      </x:c>
    </x:row>
    <x:row r="41" ht="15" customHeight="1">
      <x:c r="A41" s="2" t="n">
        <x:f>Reporting!C33</x:f>
        <x:v>0</x:v>
      </x:c>
      <x:c r="B41" s="2" t="str">
        <x:f>Reporting!D33</x:f>
        <x:v>Phase 2 : Connectivité d'arrimage Estreem/SI Entité via GIL</x:v>
      </x:c>
      <x:c r="C41" s="2" t="n">
        <x:f>Reporting!E33</x:f>
        <x:v>0</x:v>
      </x:c>
      <x:c r="D41" s="2" t="str">
        <x:f>IF(COUNTIF('98_Mapping_Technique'!$B$2:$B$5000,INDEX('98_Mapping_Technique'!$E$2:$E$5000,ROW()-4))&gt;0,"Trouvé","Non trouvé")</x:f>
        <x:v>Trouvé</x:v>
      </x:c>
      <x:c r="E41" s="2" t="str">
        <x:f>IFERROR(INDEX('98_Mapping_Technique'!$A$2:$A$5000,MATCH(INDEX('98_Mapping_Technique'!$E$2:$E$5000,ROW()-4),'98_Mapping_Technique'!$B$2:$B$5000,0)),"")</x:f>
        <x:v>ACQ-MM5-4</x:v>
      </x:c>
      <x:c r="F41" s="2" t="str">
        <x:f>IFERROR(INDEX('01_Catalogue_Flux'!$B$5:$B$5000,MATCH(E41,'01_Catalogue_Flux'!$A$5:$A$5000,0)),"")</x:f>
        <x:v>Acquisition</x:v>
      </x:c>
      <x:c r="G41" s="2" t="str">
        <x:f>IFERROR(INDEX('01_Catalogue_Flux'!$D$5:$D$5000,MATCH(E41,'01_Catalogue_Flux'!$A$5:$A$5000,0)),"")</x:f>
        <x:v>Onboarding</x:v>
      </x:c>
      <x:c r="H41" s="2" t="str">
        <x:f t="shared" si="2"/>
        <x:v>OK</x:v>
      </x:c>
      <x:c r="I41" s="2" t="str">
        <x:f t="shared" si="3"/>
        <x:v>Aucune</x:v>
      </x:c>
    </x:row>
    <x:row r="42" ht="15" customHeight="1">
      <x:c r="A42" s="2" t="n">
        <x:f>Reporting!C34</x:f>
        <x:v>0</x:v>
      </x:c>
      <x:c r="B42" s="2" t="str">
        <x:f>Reporting!D34</x:f>
      </x:c>
      <x:c r="C42" s="2" t="str">
        <x:f>Reporting!E34</x:f>
        <x:v>ACQUISITION</x:v>
      </x:c>
      <x:c r="D42" s="2" t="str">
        <x:f>IF(COUNTIF('98_Mapping_Technique'!$B$2:$B$5000,INDEX('98_Mapping_Technique'!$E$2:$E$5000,ROW()-4))&gt;0,"Trouvé","Non trouvé")</x:f>
        <x:v>Trouvé</x:v>
      </x:c>
      <x:c r="E42" s="2" t="str">
        <x:f>IFERROR(INDEX('98_Mapping_Technique'!$A$2:$A$5000,MATCH(INDEX('98_Mapping_Technique'!$E$2:$E$5000,ROW()-4),'98_Mapping_Technique'!$B$2:$B$5000,0)),"")</x:f>
        <x:v>ACQ-MM5-5</x:v>
      </x:c>
      <x:c r="F42" s="2" t="str">
        <x:f>IFERROR(INDEX('01_Catalogue_Flux'!$B$5:$B$5000,MATCH(E42,'01_Catalogue_Flux'!$A$5:$A$5000,0)),"")</x:f>
        <x:v>Acquisition</x:v>
      </x:c>
      <x:c r="G42" s="2" t="str">
        <x:f>IFERROR(INDEX('01_Catalogue_Flux'!$D$5:$D$5000,MATCH(E42,'01_Catalogue_Flux'!$A$5:$A$5000,0)),"")</x:f>
        <x:v>Onboarding</x:v>
      </x:c>
      <x:c r="H42" s="2" t="str">
        <x:f t="shared" si="2"/>
        <x:v>OK</x:v>
      </x:c>
      <x:c r="I42" s="2" t="str">
        <x:f t="shared" si="3"/>
        <x:v>Aucune</x:v>
      </x:c>
    </x:row>
    <x:row r="43" ht="15" customHeight="1">
      <x:c r="A43" s="2" t="n">
        <x:f>Reporting!C35</x:f>
        <x:v>0</x:v>
      </x:c>
      <x:c r="B43" s="2" t="str">
        <x:f>Reporting!D35</x:f>
      </x:c>
      <x:c r="C43" s="2" t="str">
        <x:f>Reporting!E35</x:f>
        <x:v>TOTAUX</x:v>
      </x:c>
      <x:c r="D43" s="2" t="str">
        <x:f>IF(COUNTIF('98_Mapping_Technique'!$B$2:$B$5000,INDEX('98_Mapping_Technique'!$E$2:$E$5000,ROW()-4))&gt;0,"Trouvé","Non trouvé")</x:f>
        <x:v>Trouvé</x:v>
      </x:c>
      <x:c r="E43" s="2" t="str">
        <x:f>IFERROR(INDEX('98_Mapping_Technique'!$A$2:$A$5000,MATCH(INDEX('98_Mapping_Technique'!$E$2:$E$5000,ROW()-4),'98_Mapping_Technique'!$B$2:$B$5000,0)),"")</x:f>
        <x:v>ACQ-MM7</x:v>
      </x:c>
      <x:c r="F43" s="2" t="str">
        <x:f>IFERROR(INDEX('01_Catalogue_Flux'!$B$5:$B$5000,MATCH(E43,'01_Catalogue_Flux'!$A$5:$A$5000,0)),"")</x:f>
        <x:v>Acquisition</x:v>
      </x:c>
      <x:c r="G43" s="2" t="str">
        <x:f>IFERROR(INDEX('01_Catalogue_Flux'!$D$5:$D$5000,MATCH(E43,'01_Catalogue_Flux'!$A$5:$A$5000,0)),"")</x:f>
        <x:v>Onboarding</x:v>
      </x:c>
      <x:c r="H43" s="2" t="str">
        <x:f t="shared" si="2"/>
        <x:v>OK</x:v>
      </x:c>
      <x:c r="I43" s="2" t="str">
        <x:f t="shared" si="3"/>
        <x:v>Aucune</x:v>
      </x:c>
    </x:row>
    <x:row r="44" ht="15" customHeight="1">
      <x:c r="A44" s="2" t="n">
        <x:f>Reporting!C36</x:f>
        <x:v>0</x:v>
      </x:c>
      <x:c r="B44" s="2" t="str">
        <x:f>Reporting!D36</x:f>
      </x:c>
      <x:c r="C44" s="2" t="str">
        <x:f>Reporting!E36</x:f>
        <x:v>Env</x:v>
      </x:c>
      <x:c r="D44" s="2" t="str">
        <x:f>IF(COUNTIF('98_Mapping_Technique'!$B$2:$B$5000,INDEX('98_Mapping_Technique'!$E$2:$E$5000,ROW()-4))&gt;0,"Trouvé","Non trouvé")</x:f>
        <x:v>Trouvé</x:v>
      </x:c>
      <x:c r="E44" s="2" t="str">
        <x:f>IFERROR(INDEX('98_Mapping_Technique'!$A$2:$A$5000,MATCH(INDEX('98_Mapping_Technique'!$E$2:$E$5000,ROW()-4),'98_Mapping_Technique'!$B$2:$B$5000,0)),"")</x:f>
        <x:v>ACQ-OA5-2</x:v>
      </x:c>
      <x:c r="F44" s="2" t="str">
        <x:f>IFERROR(INDEX('01_Catalogue_Flux'!$B$5:$B$5000,MATCH(E44,'01_Catalogue_Flux'!$A$5:$A$5000,0)),"")</x:f>
        <x:v>Acquisition</x:v>
      </x:c>
      <x:c r="G44" s="2" t="str">
        <x:f>IFERROR(INDEX('01_Catalogue_Flux'!$D$5:$D$5000,MATCH(E44,'01_Catalogue_Flux'!$A$5:$A$5000,0)),"")</x:f>
        <x:v>Authorize</x:v>
      </x:c>
      <x:c r="H44" s="2" t="str">
        <x:f t="shared" si="2"/>
        <x:v>OK</x:v>
      </x:c>
      <x:c r="I44" s="2" t="str">
        <x:f t="shared" si="3"/>
        <x:v>Aucune</x:v>
      </x:c>
    </x:row>
    <x:row r="45" ht="15" customHeight="1">
      <x:c r="A45" s="2" t="n">
        <x:f>Reporting!C37</x:f>
        <x:v>0</x:v>
      </x:c>
      <x:c r="B45" s="2" t="n">
        <x:f>Reporting!D37</x:f>
        <x:v>0</x:v>
      </x:c>
      <x:c r="C45" s="2" t="str">
        <x:f>Reporting!E37</x:f>
        <x:v>SIT</x:v>
      </x:c>
      <x:c r="D45" s="2" t="str">
        <x:f>IF(COUNTIF('98_Mapping_Technique'!$B$2:$B$5000,INDEX('98_Mapping_Technique'!$E$2:$E$5000,ROW()-4))&gt;0,"Trouvé","Non trouvé")</x:f>
        <x:v>Non trouvé</x:v>
      </x:c>
      <x:c r="E45" s="2" t="str">
        <x:f>IFERROR(INDEX('98_Mapping_Technique'!$A$2:$A$5000,MATCH(INDEX('98_Mapping_Technique'!$E$2:$E$5000,ROW()-4),'98_Mapping_Technique'!$B$2:$B$5000,0)),"")</x:f>
      </x:c>
      <x:c r="F45" s="2" t="str">
        <x:f>IFERROR(INDEX('01_Catalogue_Flux'!$B$5:$B$5000,MATCH(E45,'01_Catalogue_Flux'!$A$5:$A$5000,0)),"")</x:f>
      </x:c>
      <x:c r="G45" s="2" t="str">
        <x:f>IFERROR(INDEX('01_Catalogue_Flux'!$D$5:$D$5000,MATCH(E45,'01_Catalogue_Flux'!$A$5:$A$5000,0)),"")</x:f>
      </x:c>
      <x:c r="H45" s="2" t="str">
        <x:f t="shared" si="2"/>
        <x:v>À qualifier</x:v>
      </x:c>
      <x:c r="I45" s="2" t="str">
        <x:f t="shared" si="3"/>
        <x:v>Ajouter au catalogue</x:v>
      </x:c>
    </x:row>
    <x:row r="46" ht="15" customHeight="1">
      <x:c r="A46" s="2" t="n">
        <x:f>Reporting!C38</x:f>
        <x:v>0</x:v>
      </x:c>
      <x:c r="B46" s="2" t="n">
        <x:f>Reporting!D38</x:f>
        <x:v>0</x:v>
      </x:c>
      <x:c r="C46" s="2" t="str">
        <x:f>Reporting!E38</x:f>
      </x:c>
      <x:c r="D46" s="2" t="str">
        <x:f>IF(COUNTIF('98_Mapping_Technique'!$B$2:$B$5000,INDEX('98_Mapping_Technique'!$E$2:$E$5000,ROW()-4))&gt;0,"Trouvé","Non trouvé")</x:f>
        <x:v>Non trouvé</x:v>
      </x:c>
      <x:c r="E46" s="2" t="str">
        <x:f>IFERROR(INDEX('98_Mapping_Technique'!$A$2:$A$5000,MATCH(INDEX('98_Mapping_Technique'!$E$2:$E$5000,ROW()-4),'98_Mapping_Technique'!$B$2:$B$5000,0)),"")</x:f>
      </x:c>
      <x:c r="F46" s="2" t="str">
        <x:f>IFERROR(INDEX('01_Catalogue_Flux'!$B$5:$B$5000,MATCH(E46,'01_Catalogue_Flux'!$A$5:$A$5000,0)),"")</x:f>
      </x:c>
      <x:c r="G46" s="2" t="str">
        <x:f>IFERROR(INDEX('01_Catalogue_Flux'!$D$5:$D$5000,MATCH(E46,'01_Catalogue_Flux'!$A$5:$A$5000,0)),"")</x:f>
      </x:c>
      <x:c r="H46" s="2" t="str">
        <x:f t="shared" si="2"/>
        <x:v>À qualifier</x:v>
      </x:c>
      <x:c r="I46" s="2" t="str">
        <x:f t="shared" si="3"/>
        <x:v>Ajouter au catalogue</x:v>
      </x:c>
    </x:row>
    <x:row r="47" ht="15" customHeight="1">
      <x:c r="A47" s="2" t="n">
        <x:f>Reporting!C39</x:f>
        <x:v>0</x:v>
      </x:c>
      <x:c r="B47" s="2" t="n">
        <x:f>Reporting!D39</x:f>
        <x:v>0</x:v>
      </x:c>
      <x:c r="C47" s="2" t="n">
        <x:f>Reporting!E39</x:f>
        <x:v>0</x:v>
      </x:c>
      <x:c r="D47" s="2" t="str">
        <x:f>IF(COUNTIF('98_Mapping_Technique'!$B$2:$B$5000,INDEX('98_Mapping_Technique'!$E$2:$E$5000,ROW()-4))&gt;0,"Trouvé","Non trouvé")</x:f>
        <x:v>Trouvé</x:v>
      </x:c>
      <x:c r="E47" s="2" t="str">
        <x:f>IFERROR(INDEX('98_Mapping_Technique'!$A$2:$A$5000,MATCH(INDEX('98_Mapping_Technique'!$E$2:$E$5000,ROW()-4),'98_Mapping_Technique'!$B$2:$B$5000,0)),"")</x:f>
        <x:v>Iss-CMS4_001</x:v>
      </x:c>
      <x:c r="F47" s="2" t="str">
        <x:f>IFERROR(INDEX('01_Catalogue_Flux'!$B$5:$B$5000,MATCH(E47,'01_Catalogue_Flux'!$A$5:$A$5000,0)),"")</x:f>
        <x:v>Issuing</x:v>
      </x:c>
      <x:c r="G47" s="2" t="str">
        <x:f>IFERROR(INDEX('01_Catalogue_Flux'!$D$5:$D$5000,MATCH(E47,'01_Catalogue_Flux'!$A$5:$A$5000,0)),"")</x:f>
        <x:v>Onboarding</x:v>
      </x:c>
      <x:c r="H47" s="2" t="str">
        <x:f t="shared" si="2"/>
        <x:v>OK</x:v>
      </x:c>
      <x:c r="I47" s="2" t="str">
        <x:f t="shared" si="3"/>
        <x:v>Aucune</x:v>
      </x:c>
    </x:row>
    <x:row r="48" ht="15" customHeight="1">
      <x:c r="A48" s="2" t="n">
        <x:f>Reporting!C40</x:f>
        <x:v>0</x:v>
      </x:c>
      <x:c r="B48" s="2" t="n">
        <x:f>Reporting!D40</x:f>
        <x:v>0</x:v>
      </x:c>
      <x:c r="C48" s="2" t="str">
        <x:f>Reporting!E40</x:f>
      </x:c>
      <x:c r="D48" s="2" t="str">
        <x:f>IF(COUNTIF('98_Mapping_Technique'!$B$2:$B$5000,INDEX('98_Mapping_Technique'!$E$2:$E$5000,ROW()-4))&gt;0,"Trouvé","Non trouvé")</x:f>
        <x:v>Trouvé</x:v>
      </x:c>
      <x:c r="E48" s="2" t="str">
        <x:f>IFERROR(INDEX('98_Mapping_Technique'!$A$2:$A$5000,MATCH(INDEX('98_Mapping_Technique'!$E$2:$E$5000,ROW()-4),'98_Mapping_Technique'!$B$2:$B$5000,0)),"")</x:f>
        <x:v>Iss-CMS14_001</x:v>
      </x:c>
      <x:c r="F48" s="2" t="str">
        <x:f>IFERROR(INDEX('01_Catalogue_Flux'!$B$5:$B$5000,MATCH(E48,'01_Catalogue_Flux'!$A$5:$A$5000,0)),"")</x:f>
        <x:v>Issuing</x:v>
      </x:c>
      <x:c r="G48" s="2" t="str">
        <x:f>IFERROR(INDEX('01_Catalogue_Flux'!$D$5:$D$5000,MATCH(E48,'01_Catalogue_Flux'!$A$5:$A$5000,0)),"")</x:f>
        <x:v>Onboarding</x:v>
      </x:c>
      <x:c r="H48" s="2" t="str">
        <x:f t="shared" si="2"/>
        <x:v>OK</x:v>
      </x:c>
      <x:c r="I48" s="2" t="str">
        <x:f t="shared" si="3"/>
        <x:v>Aucune</x:v>
      </x:c>
    </x:row>
    <x:row r="49" ht="15" customHeight="1">
      <x:c r="A49" s="2" t="n">
        <x:f>Reporting!C41</x:f>
        <x:v>0</x:v>
      </x:c>
      <x:c r="B49" s="2" t="n">
        <x:f>Reporting!D41</x:f>
        <x:v>0</x:v>
      </x:c>
      <x:c r="C49" s="2" t="n">
        <x:f>Reporting!E41</x:f>
        <x:v>0</x:v>
      </x:c>
      <x:c r="D49" s="2" t="str">
        <x:f>IF(COUNTIF('98_Mapping_Technique'!$B$2:$B$5000,INDEX('98_Mapping_Technique'!$E$2:$E$5000,ROW()-4))&gt;0,"Trouvé","Non trouvé")</x:f>
        <x:v>Trouvé</x:v>
      </x:c>
      <x:c r="E49" s="2" t="str">
        <x:f>IFERROR(INDEX('98_Mapping_Technique'!$A$2:$A$5000,MATCH(INDEX('98_Mapping_Technique'!$E$2:$E$5000,ROW()-4),'98_Mapping_Technique'!$B$2:$B$5000,0)),"")</x:f>
        <x:v>Iss-CMS14_002</x:v>
      </x:c>
      <x:c r="F49" s="2" t="str">
        <x:f>IFERROR(INDEX('01_Catalogue_Flux'!$B$5:$B$5000,MATCH(E49,'01_Catalogue_Flux'!$A$5:$A$5000,0)),"")</x:f>
        <x:v>Issuing</x:v>
      </x:c>
      <x:c r="G49" s="2" t="str">
        <x:f>IFERROR(INDEX('01_Catalogue_Flux'!$D$5:$D$5000,MATCH(E49,'01_Catalogue_Flux'!$A$5:$A$5000,0)),"")</x:f>
        <x:v>Onboarding</x:v>
      </x:c>
      <x:c r="H49" s="2" t="str">
        <x:f t="shared" si="2"/>
        <x:v>OK</x:v>
      </x:c>
      <x:c r="I49" s="2" t="str">
        <x:f t="shared" si="3"/>
        <x:v>Aucune</x:v>
      </x:c>
    </x:row>
    <x:row r="50" ht="15" customHeight="1">
      <x:c r="A50" s="2" t="n">
        <x:f>Reporting!C42</x:f>
        <x:v>0</x:v>
      </x:c>
      <x:c r="B50" s="2" t="n">
        <x:f>Reporting!D42</x:f>
        <x:v>0</x:v>
      </x:c>
      <x:c r="C50" s="2" t="str">
        <x:f>Reporting!E42</x:f>
      </x:c>
      <x:c r="D50" s="2" t="str">
        <x:f>IF(COUNTIF('98_Mapping_Technique'!$B$2:$B$5000,INDEX('98_Mapping_Technique'!$E$2:$E$5000,ROW()-4))&gt;0,"Trouvé","Non trouvé")</x:f>
        <x:v>Non trouvé</x:v>
      </x:c>
      <x:c r="E50" s="2" t="str">
        <x:f>IFERROR(INDEX('98_Mapping_Technique'!$A$2:$A$5000,MATCH(INDEX('98_Mapping_Technique'!$E$2:$E$5000,ROW()-4),'98_Mapping_Technique'!$B$2:$B$5000,0)),"")</x:f>
      </x:c>
      <x:c r="F50" s="2" t="str">
        <x:f>IFERROR(INDEX('01_Catalogue_Flux'!$B$5:$B$5000,MATCH(E50,'01_Catalogue_Flux'!$A$5:$A$5000,0)),"")</x:f>
      </x:c>
      <x:c r="G50" s="2" t="str">
        <x:f>IFERROR(INDEX('01_Catalogue_Flux'!$D$5:$D$5000,MATCH(E50,'01_Catalogue_Flux'!$A$5:$A$5000,0)),"")</x:f>
      </x:c>
      <x:c r="H50" s="2" t="str">
        <x:f t="shared" si="2"/>
        <x:v>À qualifier</x:v>
      </x:c>
      <x:c r="I50" s="2" t="str">
        <x:f t="shared" si="3"/>
        <x:v>Ajouter au catalogue</x:v>
      </x:c>
    </x:row>
    <x:row r="51" ht="15" customHeight="1">
      <x:c r="A51" s="2" t="n">
        <x:f>Reporting!C43</x:f>
        <x:v>0</x:v>
      </x:c>
      <x:c r="B51" s="2" t="n">
        <x:f>Reporting!D43</x:f>
        <x:v>0</x:v>
      </x:c>
      <x:c r="C51" s="2" t="n">
        <x:f>Reporting!E43</x:f>
        <x:v>0</x:v>
      </x:c>
      <x:c r="D51" s="2" t="str">
        <x:f>IF(COUNTIF('98_Mapping_Technique'!$B$2:$B$5000,INDEX('98_Mapping_Technique'!$E$2:$E$5000,ROW()-4))&gt;0,"Trouvé","Non trouvé")</x:f>
        <x:v>Non trouvé</x:v>
      </x:c>
      <x:c r="E51" s="2" t="str">
        <x:f>IFERROR(INDEX('98_Mapping_Technique'!$A$2:$A$5000,MATCH(INDEX('98_Mapping_Technique'!$E$2:$E$5000,ROW()-4),'98_Mapping_Technique'!$B$2:$B$5000,0)),"")</x:f>
      </x:c>
      <x:c r="F51" s="2" t="str">
        <x:f>IFERROR(INDEX('01_Catalogue_Flux'!$B$5:$B$5000,MATCH(E51,'01_Catalogue_Flux'!$A$5:$A$5000,0)),"")</x:f>
      </x:c>
      <x:c r="G51" s="2" t="str">
        <x:f>IFERROR(INDEX('01_Catalogue_Flux'!$D$5:$D$5000,MATCH(E51,'01_Catalogue_Flux'!$A$5:$A$5000,0)),"")</x:f>
      </x:c>
      <x:c r="H51" s="2" t="str">
        <x:f t="shared" si="2"/>
        <x:v>À qualifier</x:v>
      </x:c>
      <x:c r="I51" s="2" t="str">
        <x:f t="shared" si="3"/>
        <x:v>Ajouter au catalogue</x:v>
      </x:c>
    </x:row>
    <x:row r="52" ht="15" customHeight="1">
      <x:c r="A52" s="2" t="n">
        <x:f>Reporting!C44</x:f>
        <x:v>0</x:v>
      </x:c>
      <x:c r="B52" s="2" t="n">
        <x:f>Reporting!D44</x:f>
        <x:v>0</x:v>
      </x:c>
      <x:c r="C52" s="2" t="str">
        <x:f>Reporting!E44</x:f>
      </x:c>
      <x:c r="D52" s="2" t="str">
        <x:f>IF(COUNTIF('98_Mapping_Technique'!$B$2:$B$5000,INDEX('98_Mapping_Technique'!$E$2:$E$5000,ROW()-4))&gt;0,"Trouvé","Non trouvé")</x:f>
        <x:v>Non trouvé</x:v>
      </x:c>
      <x:c r="E52" s="2" t="str">
        <x:f>IFERROR(INDEX('98_Mapping_Technique'!$A$2:$A$5000,MATCH(INDEX('98_Mapping_Technique'!$E$2:$E$5000,ROW()-4),'98_Mapping_Technique'!$B$2:$B$5000,0)),"")</x:f>
      </x:c>
      <x:c r="F52" s="2" t="str">
        <x:f>IFERROR(INDEX('01_Catalogue_Flux'!$B$5:$B$5000,MATCH(E52,'01_Catalogue_Flux'!$A$5:$A$5000,0)),"")</x:f>
      </x:c>
      <x:c r="G52" s="2" t="str">
        <x:f>IFERROR(INDEX('01_Catalogue_Flux'!$D$5:$D$5000,MATCH(E52,'01_Catalogue_Flux'!$A$5:$A$5000,0)),"")</x:f>
      </x:c>
      <x:c r="H52" s="2" t="str">
        <x:f t="shared" si="2"/>
        <x:v>À qualifier</x:v>
      </x:c>
      <x:c r="I52" s="2" t="str">
        <x:f t="shared" si="3"/>
        <x:v>Ajouter au catalogue</x:v>
      </x:c>
    </x:row>
    <x:row r="53" ht="15" customHeight="1">
      <x:c r="A53" s="2" t="n">
        <x:f>Reporting!C45</x:f>
        <x:v>0</x:v>
      </x:c>
      <x:c r="B53" s="2" t="n">
        <x:f>Reporting!D45</x:f>
        <x:v>0</x:v>
      </x:c>
      <x:c r="C53" s="2" t="n">
        <x:f>Reporting!E45</x:f>
        <x:v>0</x:v>
      </x:c>
      <x:c r="D53" s="2" t="str">
        <x:f>IF(COUNTIF('98_Mapping_Technique'!$B$2:$B$5000,INDEX('98_Mapping_Technique'!$E$2:$E$5000,ROW()-4))&gt;0,"Trouvé","Non trouvé")</x:f>
        <x:v>Non trouvé</x:v>
      </x:c>
      <x:c r="E53" s="2" t="str">
        <x:f>IFERROR(INDEX('98_Mapping_Technique'!$A$2:$A$5000,MATCH(INDEX('98_Mapping_Technique'!$E$2:$E$5000,ROW()-4),'98_Mapping_Technique'!$B$2:$B$5000,0)),"")</x:f>
      </x:c>
      <x:c r="F53" s="2" t="str">
        <x:f>IFERROR(INDEX('01_Catalogue_Flux'!$B$5:$B$5000,MATCH(E53,'01_Catalogue_Flux'!$A$5:$A$5000,0)),"")</x:f>
      </x:c>
      <x:c r="G53" s="2" t="str">
        <x:f>IFERROR(INDEX('01_Catalogue_Flux'!$D$5:$D$5000,MATCH(E53,'01_Catalogue_Flux'!$A$5:$A$5000,0)),"")</x:f>
      </x:c>
      <x:c r="H53" s="2" t="str">
        <x:f t="shared" si="2"/>
        <x:v>À qualifier</x:v>
      </x:c>
      <x:c r="I53" s="2" t="str">
        <x:f t="shared" si="3"/>
        <x:v>Ajouter au catalogue</x:v>
      </x:c>
    </x:row>
    <x:row r="54" ht="15" customHeight="1">
      <x:c r="A54" s="2" t="n">
        <x:f>Reporting!C46</x:f>
        <x:v>0</x:v>
      </x:c>
      <x:c r="B54" s="2" t="str">
        <x:f>Reporting!D46</x:f>
      </x:c>
      <x:c r="C54" s="2" t="str">
        <x:f>Reporting!E46</x:f>
      </x:c>
      <x:c r="D54" s="2" t="str">
        <x:f>IF(COUNTIF('98_Mapping_Technique'!$B$2:$B$5000,INDEX('98_Mapping_Technique'!$E$2:$E$5000,ROW()-4))&gt;0,"Trouvé","Non trouvé")</x:f>
        <x:v>Trouvé</x:v>
      </x:c>
      <x:c r="E54" s="2" t="str">
        <x:f>IFERROR(INDEX('98_Mapping_Technique'!$A$2:$A$5000,MATCH(INDEX('98_Mapping_Technique'!$E$2:$E$5000,ROW()-4),'98_Mapping_Technique'!$B$2:$B$5000,0)),"")</x:f>
        <x:v>Iss-OA3_002</x:v>
      </x:c>
      <x:c r="F54" s="2" t="str">
        <x:f>IFERROR(INDEX('01_Catalogue_Flux'!$B$5:$B$5000,MATCH(E54,'01_Catalogue_Flux'!$A$5:$A$5000,0)),"")</x:f>
        <x:v>Issuing</x:v>
      </x:c>
      <x:c r="G54" s="2" t="str">
        <x:f>IFERROR(INDEX('01_Catalogue_Flux'!$D$5:$D$5000,MATCH(E54,'01_Catalogue_Flux'!$A$5:$A$5000,0)),"")</x:f>
        <x:v>Authorize / Paiement</x:v>
      </x:c>
      <x:c r="H54" s="2" t="str">
        <x:f t="shared" si="2"/>
        <x:v>OK</x:v>
      </x:c>
      <x:c r="I54" s="2" t="str">
        <x:f t="shared" si="3"/>
        <x:v>Aucune</x:v>
      </x:c>
    </x:row>
    <x:row r="55" ht="15" customHeight="1">
      <x:c r="A55" s="2" t="n">
        <x:f>Reporting!C47</x:f>
        <x:v>0</x:v>
      </x:c>
      <x:c r="B55" s="2" t="n">
        <x:f>Reporting!D47</x:f>
        <x:v>0</x:v>
      </x:c>
      <x:c r="C55" s="2" t="str">
        <x:f>Reporting!E47</x:f>
        <x:v>UAT</x:v>
      </x:c>
      <x:c r="D55" s="2" t="str">
        <x:f>IF(COUNTIF('98_Mapping_Technique'!$B$2:$B$5000,INDEX('98_Mapping_Technique'!$E$2:$E$5000,ROW()-4))&gt;0,"Trouvé","Non trouvé")</x:f>
        <x:v>Non trouvé</x:v>
      </x:c>
      <x:c r="E55" s="2" t="str">
        <x:f>IFERROR(INDEX('98_Mapping_Technique'!$A$2:$A$5000,MATCH(INDEX('98_Mapping_Technique'!$E$2:$E$5000,ROW()-4),'98_Mapping_Technique'!$B$2:$B$5000,0)),"")</x:f>
      </x:c>
      <x:c r="F55" s="2" t="str">
        <x:f>IFERROR(INDEX('01_Catalogue_Flux'!$B$5:$B$5000,MATCH(E55,'01_Catalogue_Flux'!$A$5:$A$5000,0)),"")</x:f>
      </x:c>
      <x:c r="G55" s="2" t="str">
        <x:f>IFERROR(INDEX('01_Catalogue_Flux'!$D$5:$D$5000,MATCH(E55,'01_Catalogue_Flux'!$A$5:$A$5000,0)),"")</x:f>
      </x:c>
      <x:c r="H55" s="2" t="str">
        <x:f t="shared" si="2"/>
        <x:v>À qualifier</x:v>
      </x:c>
      <x:c r="I55" s="2" t="str">
        <x:f t="shared" si="3"/>
        <x:v>Ajouter au catalogue</x:v>
      </x:c>
    </x:row>
    <x:row r="56" ht="15" customHeight="1">
      <x:c r="A56" s="2" t="n">
        <x:f>Reporting!C48</x:f>
        <x:v>0</x:v>
      </x:c>
      <x:c r="B56" s="2" t="n">
        <x:f>Reporting!D48</x:f>
        <x:v>0</x:v>
      </x:c>
      <x:c r="C56" s="2" t="str">
        <x:f>Reporting!E48</x:f>
      </x:c>
      <x:c r="D56" s="2" t="str">
        <x:f>IF(COUNTIF('98_Mapping_Technique'!$B$2:$B$5000,INDEX('98_Mapping_Technique'!$E$2:$E$5000,ROW()-4))&gt;0,"Trouvé","Non trouvé")</x:f>
        <x:v>Non trouvé</x:v>
      </x:c>
      <x:c r="E56" s="2" t="str">
        <x:f>IFERROR(INDEX('98_Mapping_Technique'!$A$2:$A$5000,MATCH(INDEX('98_Mapping_Technique'!$E$2:$E$5000,ROW()-4),'98_Mapping_Technique'!$B$2:$B$5000,0)),"")</x:f>
      </x:c>
      <x:c r="F56" s="2" t="str">
        <x:f>IFERROR(INDEX('01_Catalogue_Flux'!$B$5:$B$5000,MATCH(E56,'01_Catalogue_Flux'!$A$5:$A$5000,0)),"")</x:f>
      </x:c>
      <x:c r="G56" s="2" t="str">
        <x:f>IFERROR(INDEX('01_Catalogue_Flux'!$D$5:$D$5000,MATCH(E56,'01_Catalogue_Flux'!$A$5:$A$5000,0)),"")</x:f>
      </x:c>
      <x:c r="H56" s="2" t="str">
        <x:f t="shared" si="2"/>
        <x:v>À qualifier</x:v>
      </x:c>
      <x:c r="I56" s="2" t="str">
        <x:f t="shared" si="3"/>
        <x:v>Ajouter au catalogue</x:v>
      </x:c>
    </x:row>
    <x:row r="57" ht="15" customHeight="1">
      <x:c r="A57" s="2" t="n">
        <x:f>Reporting!C49</x:f>
        <x:v>0</x:v>
      </x:c>
      <x:c r="B57" s="2" t="n">
        <x:f>Reporting!D49</x:f>
        <x:v>0</x:v>
      </x:c>
      <x:c r="C57" s="2" t="n">
        <x:f>Reporting!E49</x:f>
        <x:v>0</x:v>
      </x:c>
      <x:c r="D57" s="2" t="str">
        <x:f>IF(COUNTIF('98_Mapping_Technique'!$B$2:$B$5000,INDEX('98_Mapping_Technique'!$E$2:$E$5000,ROW()-4))&gt;0,"Trouvé","Non trouvé")</x:f>
        <x:v>Non trouvé</x:v>
      </x:c>
      <x:c r="E57" s="2" t="str">
        <x:f>IFERROR(INDEX('98_Mapping_Technique'!$A$2:$A$5000,MATCH(INDEX('98_Mapping_Technique'!$E$2:$E$5000,ROW()-4),'98_Mapping_Technique'!$B$2:$B$5000,0)),"")</x:f>
      </x:c>
      <x:c r="F57" s="2" t="str">
        <x:f>IFERROR(INDEX('01_Catalogue_Flux'!$B$5:$B$5000,MATCH(E57,'01_Catalogue_Flux'!$A$5:$A$5000,0)),"")</x:f>
      </x:c>
      <x:c r="G57" s="2" t="str">
        <x:f>IFERROR(INDEX('01_Catalogue_Flux'!$D$5:$D$5000,MATCH(E57,'01_Catalogue_Flux'!$A$5:$A$5000,0)),"")</x:f>
      </x:c>
      <x:c r="H57" s="2" t="str">
        <x:f t="shared" si="2"/>
        <x:v>À qualifier</x:v>
      </x:c>
      <x:c r="I57" s="2" t="str">
        <x:f t="shared" si="3"/>
        <x:v>Ajouter au catalogue</x:v>
      </x:c>
    </x:row>
    <x:row r="58" ht="15" customHeight="1">
      <x:c r="A58" s="2" t="n">
        <x:f>Reporting!C50</x:f>
        <x:v>0</x:v>
      </x:c>
      <x:c r="B58" s="2" t="n">
        <x:f>Reporting!D50</x:f>
        <x:v>0</x:v>
      </x:c>
      <x:c r="C58" s="2" t="str">
        <x:f>Reporting!E50</x:f>
      </x:c>
      <x:c r="D58" s="2" t="str">
        <x:f>IF(COUNTIF('98_Mapping_Technique'!$B$2:$B$5000,INDEX('98_Mapping_Technique'!$E$2:$E$5000,ROW()-4))&gt;0,"Trouvé","Non trouvé")</x:f>
        <x:v>Non trouvé</x:v>
      </x:c>
      <x:c r="E58" s="2" t="str">
        <x:f>IFERROR(INDEX('98_Mapping_Technique'!$A$2:$A$5000,MATCH(INDEX('98_Mapping_Technique'!$E$2:$E$5000,ROW()-4),'98_Mapping_Technique'!$B$2:$B$5000,0)),"")</x:f>
      </x:c>
      <x:c r="F58" s="2" t="str">
        <x:f>IFERROR(INDEX('01_Catalogue_Flux'!$B$5:$B$5000,MATCH(E58,'01_Catalogue_Flux'!$A$5:$A$5000,0)),"")</x:f>
      </x:c>
      <x:c r="G58" s="2" t="str">
        <x:f>IFERROR(INDEX('01_Catalogue_Flux'!$D$5:$D$5000,MATCH(E58,'01_Catalogue_Flux'!$A$5:$A$5000,0)),"")</x:f>
      </x:c>
      <x:c r="H58" s="2" t="str">
        <x:f t="shared" si="2"/>
        <x:v>À qualifier</x:v>
      </x:c>
      <x:c r="I58" s="2" t="str">
        <x:f t="shared" si="3"/>
        <x:v>Ajouter au catalogue</x:v>
      </x:c>
    </x:row>
    <x:row r="59" ht="15" customHeight="1">
      <x:c r="A59" s="2" t="n">
        <x:f>Reporting!C51</x:f>
        <x:v>0</x:v>
      </x:c>
      <x:c r="B59" s="2" t="n">
        <x:f>Reporting!D51</x:f>
        <x:v>0</x:v>
      </x:c>
      <x:c r="C59" s="2" t="n">
        <x:f>Reporting!E51</x:f>
        <x:v>0</x:v>
      </x:c>
      <x:c r="D59" s="2" t="str">
        <x:f>IF(COUNTIF('98_Mapping_Technique'!$B$2:$B$5000,INDEX('98_Mapping_Technique'!$E$2:$E$5000,ROW()-4))&gt;0,"Trouvé","Non trouvé")</x:f>
        <x:v>Non trouvé</x:v>
      </x:c>
      <x:c r="E59" s="2" t="str">
        <x:f>IFERROR(INDEX('98_Mapping_Technique'!$A$2:$A$5000,MATCH(INDEX('98_Mapping_Technique'!$E$2:$E$5000,ROW()-4),'98_Mapping_Technique'!$B$2:$B$5000,0)),"")</x:f>
      </x:c>
      <x:c r="F59" s="2" t="str">
        <x:f>IFERROR(INDEX('01_Catalogue_Flux'!$B$5:$B$5000,MATCH(E59,'01_Catalogue_Flux'!$A$5:$A$5000,0)),"")</x:f>
      </x:c>
      <x:c r="G59" s="2" t="str">
        <x:f>IFERROR(INDEX('01_Catalogue_Flux'!$D$5:$D$5000,MATCH(E59,'01_Catalogue_Flux'!$A$5:$A$5000,0)),"")</x:f>
      </x:c>
      <x:c r="H59" s="2" t="str">
        <x:f t="shared" si="2"/>
        <x:v>À qualifier</x:v>
      </x:c>
      <x:c r="I59" s="2" t="str">
        <x:f t="shared" si="3"/>
        <x:v>Ajouter au catalogue</x:v>
      </x:c>
    </x:row>
    <x:row r="60" ht="15" customHeight="1">
      <x:c r="A60" s="2" t="n">
        <x:f>Reporting!C52</x:f>
        <x:v>0</x:v>
      </x:c>
      <x:c r="B60" s="2" t="n">
        <x:f>Reporting!D52</x:f>
        <x:v>0</x:v>
      </x:c>
      <x:c r="C60" s="2" t="str">
        <x:f>Reporting!E52</x:f>
      </x:c>
      <x:c r="D60" s="2" t="str">
        <x:f>IF(COUNTIF('98_Mapping_Technique'!$B$2:$B$5000,INDEX('98_Mapping_Technique'!$E$2:$E$5000,ROW()-4))&gt;0,"Trouvé","Non trouvé")</x:f>
        <x:v>Non trouvé</x:v>
      </x:c>
      <x:c r="E60" s="2" t="str">
        <x:f>IFERROR(INDEX('98_Mapping_Technique'!$A$2:$A$5000,MATCH(INDEX('98_Mapping_Technique'!$E$2:$E$5000,ROW()-4),'98_Mapping_Technique'!$B$2:$B$5000,0)),"")</x:f>
      </x:c>
      <x:c r="F60" s="2" t="str">
        <x:f>IFERROR(INDEX('01_Catalogue_Flux'!$B$5:$B$5000,MATCH(E60,'01_Catalogue_Flux'!$A$5:$A$5000,0)),"")</x:f>
      </x:c>
      <x:c r="G60" s="2" t="str">
        <x:f>IFERROR(INDEX('01_Catalogue_Flux'!$D$5:$D$5000,MATCH(E60,'01_Catalogue_Flux'!$A$5:$A$5000,0)),"")</x:f>
      </x:c>
      <x:c r="H60" s="2" t="str">
        <x:f t="shared" si="2"/>
        <x:v>À qualifier</x:v>
      </x:c>
      <x:c r="I60" s="2" t="str">
        <x:f t="shared" si="3"/>
        <x:v>Ajouter au catalogue</x:v>
      </x:c>
    </x:row>
    <x:row r="61" ht="15" customHeight="1">
      <x:c r="A61" s="2" t="n">
        <x:f>Reporting!C53</x:f>
        <x:v>0</x:v>
      </x:c>
      <x:c r="B61" s="2" t="n">
        <x:f>Reporting!D53</x:f>
        <x:v>0</x:v>
      </x:c>
      <x:c r="C61" s="2" t="n">
        <x:f>Reporting!E53</x:f>
        <x:v>0</x:v>
      </x:c>
      <x:c r="D61" s="2" t="str">
        <x:f>IF(COUNTIF('98_Mapping_Technique'!$B$2:$B$5000,INDEX('98_Mapping_Technique'!$E$2:$E$5000,ROW()-4))&gt;0,"Trouvé","Non trouvé")</x:f>
        <x:v>Non trouvé</x:v>
      </x:c>
      <x:c r="E61" s="2" t="str">
        <x:f>IFERROR(INDEX('98_Mapping_Technique'!$A$2:$A$5000,MATCH(INDEX('98_Mapping_Technique'!$E$2:$E$5000,ROW()-4),'98_Mapping_Technique'!$B$2:$B$5000,0)),"")</x:f>
      </x:c>
      <x:c r="F61" s="2" t="str">
        <x:f>IFERROR(INDEX('01_Catalogue_Flux'!$B$5:$B$5000,MATCH(E61,'01_Catalogue_Flux'!$A$5:$A$5000,0)),"")</x:f>
      </x:c>
      <x:c r="G61" s="2" t="str">
        <x:f>IFERROR(INDEX('01_Catalogue_Flux'!$D$5:$D$5000,MATCH(E61,'01_Catalogue_Flux'!$A$5:$A$5000,0)),"")</x:f>
      </x:c>
      <x:c r="H61" s="2" t="str">
        <x:f t="shared" si="2"/>
        <x:v>À qualifier</x:v>
      </x:c>
      <x:c r="I61" s="2" t="str">
        <x:f t="shared" si="3"/>
        <x:v>Ajouter au catalogue</x:v>
      </x:c>
    </x:row>
    <x:row r="62" ht="15" customHeight="1">
      <x:c r="A62" s="2" t="n">
        <x:f>Reporting!C54</x:f>
        <x:v>0</x:v>
      </x:c>
      <x:c r="B62" s="2" t="n">
        <x:f>Reporting!D54</x:f>
        <x:v>0</x:v>
      </x:c>
      <x:c r="C62" s="2" t="str">
        <x:f>Reporting!E54</x:f>
      </x:c>
      <x:c r="D62" s="2" t="str">
        <x:f>IF(COUNTIF('98_Mapping_Technique'!$B$2:$B$5000,INDEX('98_Mapping_Technique'!$E$2:$E$5000,ROW()-4))&gt;0,"Trouvé","Non trouvé")</x:f>
        <x:v>Non trouvé</x:v>
      </x:c>
      <x:c r="E62" s="2" t="str">
        <x:f>IFERROR(INDEX('98_Mapping_Technique'!$A$2:$A$5000,MATCH(INDEX('98_Mapping_Technique'!$E$2:$E$5000,ROW()-4),'98_Mapping_Technique'!$B$2:$B$5000,0)),"")</x:f>
      </x:c>
      <x:c r="F62" s="2" t="str">
        <x:f>IFERROR(INDEX('01_Catalogue_Flux'!$B$5:$B$5000,MATCH(E62,'01_Catalogue_Flux'!$A$5:$A$5000,0)),"")</x:f>
      </x:c>
      <x:c r="G62" s="2" t="str">
        <x:f>IFERROR(INDEX('01_Catalogue_Flux'!$D$5:$D$5000,MATCH(E62,'01_Catalogue_Flux'!$A$5:$A$5000,0)),"")</x:f>
      </x:c>
      <x:c r="H62" s="2" t="str">
        <x:f t="shared" si="2"/>
        <x:v>À qualifier</x:v>
      </x:c>
      <x:c r="I62" s="2" t="str">
        <x:f t="shared" si="3"/>
        <x:v>Ajouter au catalogue</x:v>
      </x:c>
    </x:row>
    <x:row r="63" ht="15" customHeight="1">
      <x:c r="A63" s="2" t="n">
        <x:f>Reporting!C55</x:f>
        <x:v>0</x:v>
      </x:c>
      <x:c r="B63" s="2" t="n">
        <x:f>Reporting!D55</x:f>
        <x:v>0</x:v>
      </x:c>
      <x:c r="C63" s="2" t="n">
        <x:f>Reporting!E55</x:f>
        <x:v>0</x:v>
      </x:c>
      <x:c r="D63" s="2" t="str">
        <x:f>IF(COUNTIF('98_Mapping_Technique'!$B$2:$B$5000,INDEX('98_Mapping_Technique'!$E$2:$E$5000,ROW()-4))&gt;0,"Trouvé","Non trouvé")</x:f>
        <x:v>Non trouvé</x:v>
      </x:c>
      <x:c r="E63" s="2" t="str">
        <x:f>IFERROR(INDEX('98_Mapping_Technique'!$A$2:$A$5000,MATCH(INDEX('98_Mapping_Technique'!$E$2:$E$5000,ROW()-4),'98_Mapping_Technique'!$B$2:$B$5000,0)),"")</x:f>
      </x:c>
      <x:c r="F63" s="2" t="str">
        <x:f>IFERROR(INDEX('01_Catalogue_Flux'!$B$5:$B$5000,MATCH(E63,'01_Catalogue_Flux'!$A$5:$A$5000,0)),"")</x:f>
      </x:c>
      <x:c r="G63" s="2" t="str">
        <x:f>IFERROR(INDEX('01_Catalogue_Flux'!$D$5:$D$5000,MATCH(E63,'01_Catalogue_Flux'!$A$5:$A$5000,0)),"")</x:f>
      </x:c>
      <x:c r="H63" s="2" t="str">
        <x:f t="shared" si="2"/>
        <x:v>À qualifier</x:v>
      </x:c>
      <x:c r="I63" s="2" t="str">
        <x:f t="shared" si="3"/>
        <x:v>Ajouter au catalogue</x:v>
      </x:c>
    </x:row>
    <x:row r="64" ht="15" customHeight="1">
      <x:c r="A64" s="2" t="n">
        <x:f>Reporting!C56</x:f>
        <x:v>0</x:v>
      </x:c>
      <x:c r="B64" s="2" t="n">
        <x:f>Reporting!D56</x:f>
        <x:v>0</x:v>
      </x:c>
      <x:c r="C64" s="2" t="n">
        <x:f>Reporting!E56</x:f>
        <x:v>0</x:v>
      </x:c>
      <x:c r="D64" s="2" t="str">
        <x:f>IF(COUNTIF('98_Mapping_Technique'!$B$2:$B$5000,INDEX('98_Mapping_Technique'!$E$2:$E$5000,ROW()-4))&gt;0,"Trouvé","Non trouvé")</x:f>
        <x:v>Non trouvé</x:v>
      </x:c>
      <x:c r="E64" s="2" t="str">
        <x:f>IFERROR(INDEX('98_Mapping_Technique'!$A$2:$A$5000,MATCH(INDEX('98_Mapping_Technique'!$E$2:$E$5000,ROW()-4),'98_Mapping_Technique'!$B$2:$B$5000,0)),"")</x:f>
      </x:c>
      <x:c r="F64" s="2" t="str">
        <x:f>IFERROR(INDEX('01_Catalogue_Flux'!$B$5:$B$5000,MATCH(E64,'01_Catalogue_Flux'!$A$5:$A$5000,0)),"")</x:f>
      </x:c>
      <x:c r="G64" s="2" t="str">
        <x:f>IFERROR(INDEX('01_Catalogue_Flux'!$D$5:$D$5000,MATCH(E64,'01_Catalogue_Flux'!$A$5:$A$5000,0)),"")</x:f>
      </x:c>
      <x:c r="H64" s="2" t="str">
        <x:f t="shared" si="2"/>
        <x:v>À qualifier</x:v>
      </x:c>
      <x:c r="I64" s="2" t="str">
        <x:f t="shared" si="3"/>
        <x:v>Ajouter au catalogue</x:v>
      </x:c>
    </x:row>
    <x:row r="65" ht="15" customHeight="1">
      <x:c r="A65" s="2" t="n">
        <x:f>Reporting!C57</x:f>
        <x:v>0</x:v>
      </x:c>
      <x:c r="B65" s="2" t="n">
        <x:f>Reporting!D57</x:f>
        <x:v>0</x:v>
      </x:c>
      <x:c r="C65" s="2" t="n">
        <x:f>Reporting!E57</x:f>
        <x:v>0</x:v>
      </x:c>
      <x:c r="D65" s="2" t="str">
        <x:f>IF(COUNTIF('98_Mapping_Technique'!$B$2:$B$5000,INDEX('98_Mapping_Technique'!$E$2:$E$5000,ROW()-4))&gt;0,"Trouvé","Non trouvé")</x:f>
        <x:v>Non trouvé</x:v>
      </x:c>
      <x:c r="E65" s="2" t="str">
        <x:f>IFERROR(INDEX('98_Mapping_Technique'!$A$2:$A$5000,MATCH(INDEX('98_Mapping_Technique'!$E$2:$E$5000,ROW()-4),'98_Mapping_Technique'!$B$2:$B$5000,0)),"")</x:f>
      </x:c>
      <x:c r="F65" s="2" t="str">
        <x:f>IFERROR(INDEX('01_Catalogue_Flux'!$B$5:$B$5000,MATCH(E65,'01_Catalogue_Flux'!$A$5:$A$5000,0)),"")</x:f>
      </x:c>
      <x:c r="G65" s="2" t="str">
        <x:f>IFERROR(INDEX('01_Catalogue_Flux'!$D$5:$D$5000,MATCH(E65,'01_Catalogue_Flux'!$A$5:$A$5000,0)),"")</x:f>
      </x:c>
      <x:c r="H65" s="2" t="str">
        <x:f t="shared" si="2"/>
        <x:v>À qualifier</x:v>
      </x:c>
      <x:c r="I65" s="2" t="str">
        <x:f t="shared" si="3"/>
        <x:v>Ajouter au catalogue</x:v>
      </x:c>
    </x:row>
    <x:row r="66" ht="15" customHeight="1">
      <x:c r="A66" s="2" t="str">
        <x:f>Reporting!C58</x:f>
      </x:c>
      <x:c r="B66" s="2" t="str">
        <x:f>Reporting!D58</x:f>
      </x:c>
      <x:c r="C66" s="2" t="n">
        <x:f>Reporting!E58</x:f>
        <x:v>0</x:v>
      </x:c>
      <x:c r="D66" s="2" t="str">
        <x:f>IF(COUNTIF('98_Mapping_Technique'!$B$2:$B$5000,INDEX('98_Mapping_Technique'!$E$2:$E$5000,ROW()-4))&gt;0,"Trouvé","Non trouvé")</x:f>
        <x:v>Non trouvé</x:v>
      </x:c>
      <x:c r="E66" s="2" t="str">
        <x:f>IFERROR(INDEX('98_Mapping_Technique'!$A$2:$A$5000,MATCH(INDEX('98_Mapping_Technique'!$E$2:$E$5000,ROW()-4),'98_Mapping_Technique'!$B$2:$B$5000,0)),"")</x:f>
      </x:c>
      <x:c r="F66" s="2" t="str">
        <x:f>IFERROR(INDEX('01_Catalogue_Flux'!$B$5:$B$5000,MATCH(E66,'01_Catalogue_Flux'!$A$5:$A$5000,0)),"")</x:f>
      </x:c>
      <x:c r="G66" s="2" t="str">
        <x:f>IFERROR(INDEX('01_Catalogue_Flux'!$D$5:$D$5000,MATCH(E66,'01_Catalogue_Flux'!$A$5:$A$5000,0)),"")</x:f>
      </x:c>
      <x:c r="H66" s="2" t="str">
        <x:f t="shared" si="2"/>
        <x:v>À qualifier</x:v>
      </x:c>
      <x:c r="I66" s="2" t="str">
        <x:f t="shared" si="3"/>
        <x:v>Ajouter au catalogue</x:v>
      </x:c>
    </x:row>
    <x:row r="67" ht="15" customHeight="1">
      <x:c r="A67" s="2" t="str">
        <x:f>Reporting!C59</x:f>
      </x:c>
      <x:c r="B67" s="2" t="str">
        <x:f>Reporting!D59</x:f>
        <x:v>Total</x:v>
      </x:c>
      <x:c r="C67" s="2" t="str">
        <x:f>Reporting!E59</x:f>
        <x:v>Rejeté</x:v>
      </x:c>
      <x:c r="D67" s="2" t="str">
        <x:f>IF(COUNTIF('98_Mapping_Technique'!$B$2:$B$5000,INDEX('98_Mapping_Technique'!$E$2:$E$5000,ROW()-4))&gt;0,"Trouvé","Non trouvé")</x:f>
        <x:v>Non trouvé</x:v>
      </x:c>
      <x:c r="E67" s="2" t="str">
        <x:f>IFERROR(INDEX('98_Mapping_Technique'!$A$2:$A$5000,MATCH(INDEX('98_Mapping_Technique'!$E$2:$E$5000,ROW()-4),'98_Mapping_Technique'!$B$2:$B$5000,0)),"")</x:f>
      </x:c>
      <x:c r="F67" s="2" t="str">
        <x:f>IFERROR(INDEX('01_Catalogue_Flux'!$B$5:$B$5000,MATCH(E67,'01_Catalogue_Flux'!$A$5:$A$5000,0)),"")</x:f>
      </x:c>
      <x:c r="G67" s="2" t="str">
        <x:f>IFERROR(INDEX('01_Catalogue_Flux'!$D$5:$D$5000,MATCH(E67,'01_Catalogue_Flux'!$A$5:$A$5000,0)),"")</x:f>
      </x:c>
      <x:c r="H67" s="2" t="str">
        <x:f t="shared" si="2"/>
        <x:v>À qualifier</x:v>
      </x:c>
      <x:c r="I67" s="2" t="str">
        <x:f t="shared" si="3"/>
        <x:v>Ajouter au catalogue</x:v>
      </x:c>
    </x:row>
    <x:row r="68" ht="15" customHeight="1">
      <x:c r="A68" s="2" t="str">
        <x:f>Reporting!C60</x:f>
        <x:v>Criticité</x:v>
      </x:c>
      <x:c r="B68" s="2" t="str">
        <x:f>Reporting!D60</x:f>
        <x:v>Nbr d'ano</x:v>
      </x:c>
      <x:c r="C68" s="2" t="str">
        <x:f>Reporting!E60</x:f>
        <x:v>Nbr d'ano</x:v>
      </x:c>
      <x:c r="D68" s="2" t="str">
        <x:f>IF(COUNTIF('98_Mapping_Technique'!$B$2:$B$5000,INDEX('98_Mapping_Technique'!$E$2:$E$5000,ROW()-4))&gt;0,"Trouvé","Non trouvé")</x:f>
        <x:v>Non trouvé</x:v>
      </x:c>
      <x:c r="E68" s="2" t="str">
        <x:f>IFERROR(INDEX('98_Mapping_Technique'!$A$2:$A$5000,MATCH(INDEX('98_Mapping_Technique'!$E$2:$E$5000,ROW()-4),'98_Mapping_Technique'!$B$2:$B$5000,0)),"")</x:f>
      </x:c>
      <x:c r="F68" s="2" t="str">
        <x:f>IFERROR(INDEX('01_Catalogue_Flux'!$B$5:$B$5000,MATCH(E68,'01_Catalogue_Flux'!$A$5:$A$5000,0)),"")</x:f>
      </x:c>
      <x:c r="G68" s="2" t="str">
        <x:f>IFERROR(INDEX('01_Catalogue_Flux'!$D$5:$D$5000,MATCH(E68,'01_Catalogue_Flux'!$A$5:$A$5000,0)),"")</x:f>
      </x:c>
      <x:c r="H68" s="2" t="str">
        <x:f t="shared" si="2"/>
        <x:v>À qualifier</x:v>
      </x:c>
      <x:c r="I68" s="2" t="str">
        <x:f t="shared" si="3"/>
        <x:v>Ajouter au catalogue</x:v>
      </x:c>
    </x:row>
    <x:row r="69" ht="15" customHeight="1">
      <x:c r="A69" s="2" t="str">
        <x:f>Reporting!C61</x:f>
        <x:v>Critique</x:v>
      </x:c>
      <x:c r="B69" s="2" t="str">
        <x:f>Reporting!D61</x:f>
        <x:v>2</x:v>
      </x:c>
      <x:c r="C69" s="2" t="str">
        <x:f>Reporting!E61</x:f>
        <x:v>0</x:v>
      </x:c>
      <x:c r="D69" s="2" t="str">
        <x:f>IF(COUNTIF('98_Mapping_Technique'!$B$2:$B$5000,INDEX('98_Mapping_Technique'!$E$2:$E$5000,ROW()-4))&gt;0,"Trouvé","Non trouvé")</x:f>
        <x:v>Non trouvé</x:v>
      </x:c>
      <x:c r="E69" s="2" t="str">
        <x:f>IFERROR(INDEX('98_Mapping_Technique'!$A$2:$A$5000,MATCH(INDEX('98_Mapping_Technique'!$E$2:$E$5000,ROW()-4),'98_Mapping_Technique'!$B$2:$B$5000,0)),"")</x:f>
      </x:c>
      <x:c r="F69" s="2" t="str">
        <x:f>IFERROR(INDEX('01_Catalogue_Flux'!$B$5:$B$5000,MATCH(E69,'01_Catalogue_Flux'!$A$5:$A$5000,0)),"")</x:f>
      </x:c>
      <x:c r="G69" s="2" t="str">
        <x:f>IFERROR(INDEX('01_Catalogue_Flux'!$D$5:$D$5000,MATCH(E69,'01_Catalogue_Flux'!$A$5:$A$5000,0)),"")</x:f>
      </x:c>
      <x:c r="H69" s="2" t="str">
        <x:f t="shared" ref="H69:H100" si="4">IF(D69="Non trouvé","À qualifier",IF(B69=F69,"OK","Domaine différent"))</x:f>
        <x:v>À qualifier</x:v>
      </x:c>
      <x:c r="I69" s="2" t="str">
        <x:f t="shared" ref="I69:I100" si="5">IF(D69="Non trouvé","Ajouter au catalogue",IF(H69="OK","Aucune","Vérifier le mapping"))</x:f>
        <x:v>Ajouter au catalogue</x:v>
      </x:c>
    </x:row>
    <x:row r="70" ht="15" customHeight="1">
      <x:c r="A70" s="2" t="str">
        <x:f>Reporting!C62</x:f>
        <x:v>Majeur</x:v>
      </x:c>
      <x:c r="B70" s="2" t="str">
        <x:f>Reporting!D62</x:f>
        <x:v>0</x:v>
      </x:c>
      <x:c r="C70" s="2" t="str">
        <x:f>Reporting!E62</x:f>
        <x:v>0</x:v>
      </x:c>
      <x:c r="D70" s="2" t="str">
        <x:f>IF(COUNTIF('98_Mapping_Technique'!$B$2:$B$5000,INDEX('98_Mapping_Technique'!$E$2:$E$5000,ROW()-4))&gt;0,"Trouvé","Non trouvé")</x:f>
        <x:v>Non trouvé</x:v>
      </x:c>
      <x:c r="E70" s="2" t="str">
        <x:f>IFERROR(INDEX('98_Mapping_Technique'!$A$2:$A$5000,MATCH(INDEX('98_Mapping_Technique'!$E$2:$E$5000,ROW()-4),'98_Mapping_Technique'!$B$2:$B$5000,0)),"")</x:f>
      </x:c>
      <x:c r="F70" s="2" t="str">
        <x:f>IFERROR(INDEX('01_Catalogue_Flux'!$B$5:$B$5000,MATCH(E70,'01_Catalogue_Flux'!$A$5:$A$5000,0)),"")</x:f>
      </x:c>
      <x:c r="G70" s="2" t="str">
        <x:f>IFERROR(INDEX('01_Catalogue_Flux'!$D$5:$D$5000,MATCH(E70,'01_Catalogue_Flux'!$A$5:$A$5000,0)),"")</x:f>
      </x:c>
      <x:c r="H70" s="2" t="str">
        <x:f t="shared" si="4"/>
        <x:v>À qualifier</x:v>
      </x:c>
      <x:c r="I70" s="2" t="str">
        <x:f t="shared" si="5"/>
        <x:v>Ajouter au catalogue</x:v>
      </x:c>
    </x:row>
    <x:row r="71" ht="15" customHeight="1">
      <x:c r="A71" s="2" t="str">
        <x:f>Reporting!C63</x:f>
        <x:v>Mineur</x:v>
      </x:c>
      <x:c r="B71" s="2" t="str">
        <x:f>Reporting!D63</x:f>
        <x:v>0</x:v>
      </x:c>
      <x:c r="C71" s="2" t="str">
        <x:f>Reporting!E63</x:f>
        <x:v>0</x:v>
      </x:c>
      <x:c r="D71" s="2" t="str">
        <x:f>IF(COUNTIF('98_Mapping_Technique'!$B$2:$B$5000,INDEX('98_Mapping_Technique'!$E$2:$E$5000,ROW()-4))&gt;0,"Trouvé","Non trouvé")</x:f>
        <x:v>Non trouvé</x:v>
      </x:c>
      <x:c r="E71" s="2" t="str">
        <x:f>IFERROR(INDEX('98_Mapping_Technique'!$A$2:$A$5000,MATCH(INDEX('98_Mapping_Technique'!$E$2:$E$5000,ROW()-4),'98_Mapping_Technique'!$B$2:$B$5000,0)),"")</x:f>
      </x:c>
      <x:c r="F71" s="2" t="str">
        <x:f>IFERROR(INDEX('01_Catalogue_Flux'!$B$5:$B$5000,MATCH(E71,'01_Catalogue_Flux'!$A$5:$A$5000,0)),"")</x:f>
      </x:c>
      <x:c r="G71" s="2" t="str">
        <x:f>IFERROR(INDEX('01_Catalogue_Flux'!$D$5:$D$5000,MATCH(E71,'01_Catalogue_Flux'!$A$5:$A$5000,0)),"")</x:f>
      </x:c>
      <x:c r="H71" s="2" t="str">
        <x:f t="shared" si="4"/>
        <x:v>À qualifier</x:v>
      </x:c>
      <x:c r="I71" s="2" t="str">
        <x:f t="shared" si="5"/>
        <x:v>Ajouter au catalogue</x:v>
      </x:c>
    </x:row>
    <x:row r="72" ht="15" customHeight="1">
      <x:c r="A72" s="2" t="str">
        <x:f>Reporting!C64</x:f>
        <x:v>Critique</x:v>
      </x:c>
      <x:c r="B72" s="2" t="str">
        <x:f>Reporting!D64</x:f>
        <x:v>0</x:v>
      </x:c>
      <x:c r="C72" s="2" t="str">
        <x:f>Reporting!E64</x:f>
        <x:v>0</x:v>
      </x:c>
      <x:c r="D72" s="2" t="str">
        <x:f>IF(COUNTIF('98_Mapping_Technique'!$B$2:$B$5000,INDEX('98_Mapping_Technique'!$E$2:$E$5000,ROW()-4))&gt;0,"Trouvé","Non trouvé")</x:f>
        <x:v>Non trouvé</x:v>
      </x:c>
      <x:c r="E72" s="2" t="str">
        <x:f>IFERROR(INDEX('98_Mapping_Technique'!$A$2:$A$5000,MATCH(INDEX('98_Mapping_Technique'!$E$2:$E$5000,ROW()-4),'98_Mapping_Technique'!$B$2:$B$5000,0)),"")</x:f>
      </x:c>
      <x:c r="F72" s="2" t="str">
        <x:f>IFERROR(INDEX('01_Catalogue_Flux'!$B$5:$B$5000,MATCH(E72,'01_Catalogue_Flux'!$A$5:$A$5000,0)),"")</x:f>
      </x:c>
      <x:c r="G72" s="2" t="str">
        <x:f>IFERROR(INDEX('01_Catalogue_Flux'!$D$5:$D$5000,MATCH(E72,'01_Catalogue_Flux'!$A$5:$A$5000,0)),"")</x:f>
      </x:c>
      <x:c r="H72" s="2" t="str">
        <x:f t="shared" si="4"/>
        <x:v>À qualifier</x:v>
      </x:c>
      <x:c r="I72" s="2" t="str">
        <x:f t="shared" si="5"/>
        <x:v>Ajouter au catalogue</x:v>
      </x:c>
    </x:row>
    <x:row r="73" ht="15" customHeight="1">
      <x:c r="A73" s="2" t="str">
        <x:f>Reporting!C65</x:f>
        <x:v>Majeur</x:v>
      </x:c>
      <x:c r="B73" s="2" t="str">
        <x:f>Reporting!D65</x:f>
        <x:v>0</x:v>
      </x:c>
      <x:c r="C73" s="2" t="str">
        <x:f>Reporting!E65</x:f>
        <x:v>0</x:v>
      </x:c>
      <x:c r="D73" s="2" t="str">
        <x:f>IF(COUNTIF('98_Mapping_Technique'!$B$2:$B$5000,INDEX('98_Mapping_Technique'!$E$2:$E$5000,ROW()-4))&gt;0,"Trouvé","Non trouvé")</x:f>
        <x:v>Non trouvé</x:v>
      </x:c>
      <x:c r="E73" s="2" t="str">
        <x:f>IFERROR(INDEX('98_Mapping_Technique'!$A$2:$A$5000,MATCH(INDEX('98_Mapping_Technique'!$E$2:$E$5000,ROW()-4),'98_Mapping_Technique'!$B$2:$B$5000,0)),"")</x:f>
      </x:c>
      <x:c r="F73" s="2" t="str">
        <x:f>IFERROR(INDEX('01_Catalogue_Flux'!$B$5:$B$5000,MATCH(E73,'01_Catalogue_Flux'!$A$5:$A$5000,0)),"")</x:f>
      </x:c>
      <x:c r="G73" s="2" t="str">
        <x:f>IFERROR(INDEX('01_Catalogue_Flux'!$D$5:$D$5000,MATCH(E73,'01_Catalogue_Flux'!$A$5:$A$5000,0)),"")</x:f>
      </x:c>
      <x:c r="H73" s="2" t="str">
        <x:f t="shared" si="4"/>
        <x:v>À qualifier</x:v>
      </x:c>
      <x:c r="I73" s="2" t="str">
        <x:f t="shared" si="5"/>
        <x:v>Ajouter au catalogue</x:v>
      </x:c>
    </x:row>
    <x:row r="74" ht="15" customHeight="1">
      <x:c r="A74" s="2" t="str">
        <x:f>Reporting!C66</x:f>
        <x:v>Mineur</x:v>
      </x:c>
      <x:c r="B74" s="2" t="str">
        <x:f>Reporting!D66</x:f>
        <x:v>0</x:v>
      </x:c>
      <x:c r="C74" s="2" t="str">
        <x:f>Reporting!E66</x:f>
        <x:v>0</x:v>
      </x:c>
      <x:c r="D74" s="2" t="str">
        <x:f>IF(COUNTIF('98_Mapping_Technique'!$B$2:$B$5000,INDEX('98_Mapping_Technique'!$E$2:$E$5000,ROW()-4))&gt;0,"Trouvé","Non trouvé")</x:f>
        <x:v>Non trouvé</x:v>
      </x:c>
      <x:c r="E74" s="2" t="str">
        <x:f>IFERROR(INDEX('98_Mapping_Technique'!$A$2:$A$5000,MATCH(INDEX('98_Mapping_Technique'!$E$2:$E$5000,ROW()-4),'98_Mapping_Technique'!$B$2:$B$5000,0)),"")</x:f>
      </x:c>
      <x:c r="F74" s="2" t="str">
        <x:f>IFERROR(INDEX('01_Catalogue_Flux'!$B$5:$B$5000,MATCH(E74,'01_Catalogue_Flux'!$A$5:$A$5000,0)),"")</x:f>
      </x:c>
      <x:c r="G74" s="2" t="str">
        <x:f>IFERROR(INDEX('01_Catalogue_Flux'!$D$5:$D$5000,MATCH(E74,'01_Catalogue_Flux'!$A$5:$A$5000,0)),"")</x:f>
      </x:c>
      <x:c r="H74" s="2" t="str">
        <x:f t="shared" si="4"/>
        <x:v>À qualifier</x:v>
      </x:c>
      <x:c r="I74" s="2" t="str">
        <x:f t="shared" si="5"/>
        <x:v>Ajouter au catalogue</x:v>
      </x:c>
    </x:row>
    <x:row r="75" ht="15" customHeight="1">
      <x:c r="A75" s="2" t="n">
        <x:f>Reporting!C67</x:f>
        <x:v>0</x:v>
      </x:c>
      <x:c r="B75" s="2" t="n">
        <x:f>Reporting!D67</x:f>
        <x:v>0</x:v>
      </x:c>
      <x:c r="C75" s="2" t="n">
        <x:f>Reporting!E67</x:f>
        <x:v>0</x:v>
      </x:c>
      <x:c r="D75" s="2" t="str">
        <x:f>IF(COUNTIF('98_Mapping_Technique'!$B$2:$B$5000,INDEX('98_Mapping_Technique'!$E$2:$E$5000,ROW()-4))&gt;0,"Trouvé","Non trouvé")</x:f>
        <x:v>Non trouvé</x:v>
      </x:c>
      <x:c r="E75" s="2" t="str">
        <x:f>IFERROR(INDEX('98_Mapping_Technique'!$A$2:$A$5000,MATCH(INDEX('98_Mapping_Technique'!$E$2:$E$5000,ROW()-4),'98_Mapping_Technique'!$B$2:$B$5000,0)),"")</x:f>
      </x:c>
      <x:c r="F75" s="2" t="str">
        <x:f>IFERROR(INDEX('01_Catalogue_Flux'!$B$5:$B$5000,MATCH(E75,'01_Catalogue_Flux'!$A$5:$A$5000,0)),"")</x:f>
      </x:c>
      <x:c r="G75" s="2" t="str">
        <x:f>IFERROR(INDEX('01_Catalogue_Flux'!$D$5:$D$5000,MATCH(E75,'01_Catalogue_Flux'!$A$5:$A$5000,0)),"")</x:f>
      </x:c>
      <x:c r="H75" s="2" t="str">
        <x:f t="shared" si="4"/>
        <x:v>À qualifier</x:v>
      </x:c>
      <x:c r="I75" s="2" t="str">
        <x:f t="shared" si="5"/>
        <x:v>Ajouter au catalogue</x:v>
      </x:c>
    </x:row>
    <x:row r="76" ht="15" customHeight="1">
      <x:c r="A76" s="2" t="n">
        <x:f>Reporting!C68</x:f>
        <x:v>0</x:v>
      </x:c>
      <x:c r="B76" s="2" t="n">
        <x:f>Reporting!D68</x:f>
        <x:v>0</x:v>
      </x:c>
      <x:c r="C76" s="2" t="n">
        <x:f>Reporting!E68</x:f>
        <x:v>0</x:v>
      </x:c>
      <x:c r="D76" s="2" t="str">
        <x:f>IF(COUNTIF('98_Mapping_Technique'!$B$2:$B$5000,INDEX('98_Mapping_Technique'!$E$2:$E$5000,ROW()-4))&gt;0,"Trouvé","Non trouvé")</x:f>
        <x:v>Non trouvé</x:v>
      </x:c>
      <x:c r="E76" s="2" t="str">
        <x:f>IFERROR(INDEX('98_Mapping_Technique'!$A$2:$A$5000,MATCH(INDEX('98_Mapping_Technique'!$E$2:$E$5000,ROW()-4),'98_Mapping_Technique'!$B$2:$B$5000,0)),"")</x:f>
      </x:c>
      <x:c r="F76" s="2" t="str">
        <x:f>IFERROR(INDEX('01_Catalogue_Flux'!$B$5:$B$5000,MATCH(E76,'01_Catalogue_Flux'!$A$5:$A$5000,0)),"")</x:f>
      </x:c>
      <x:c r="G76" s="2" t="str">
        <x:f>IFERROR(INDEX('01_Catalogue_Flux'!$D$5:$D$5000,MATCH(E76,'01_Catalogue_Flux'!$A$5:$A$5000,0)),"")</x:f>
      </x:c>
      <x:c r="H76" s="2" t="str">
        <x:f t="shared" si="4"/>
        <x:v>À qualifier</x:v>
      </x:c>
      <x:c r="I76" s="2" t="str">
        <x:f t="shared" si="5"/>
        <x:v>Ajouter au catalogue</x:v>
      </x:c>
    </x:row>
    <x:row r="77" ht="15" customHeight="1">
      <x:c r="A77" s="2" t="str">
        <x:f>Reporting!C69</x:f>
      </x:c>
      <x:c r="B77" s="2" t="str">
        <x:f>Reporting!D69</x:f>
      </x:c>
      <x:c r="C77" s="2" t="str">
        <x:f>Reporting!E69</x:f>
      </x:c>
      <x:c r="D77" s="2" t="str">
        <x:f>IF(COUNTIF('98_Mapping_Technique'!$B$2:$B$5000,INDEX('98_Mapping_Technique'!$E$2:$E$5000,ROW()-4))&gt;0,"Trouvé","Non trouvé")</x:f>
        <x:v>Non trouvé</x:v>
      </x:c>
      <x:c r="E77" s="2" t="str">
        <x:f>IFERROR(INDEX('98_Mapping_Technique'!$A$2:$A$5000,MATCH(INDEX('98_Mapping_Technique'!$E$2:$E$5000,ROW()-4),'98_Mapping_Technique'!$B$2:$B$5000,0)),"")</x:f>
      </x:c>
      <x:c r="F77" s="2" t="str">
        <x:f>IFERROR(INDEX('01_Catalogue_Flux'!$B$5:$B$5000,MATCH(E77,'01_Catalogue_Flux'!$A$5:$A$5000,0)),"")</x:f>
      </x:c>
      <x:c r="G77" s="2" t="str">
        <x:f>IFERROR(INDEX('01_Catalogue_Flux'!$D$5:$D$5000,MATCH(E77,'01_Catalogue_Flux'!$A$5:$A$5000,0)),"")</x:f>
      </x:c>
      <x:c r="H77" s="2" t="str">
        <x:f t="shared" si="4"/>
        <x:v>À qualifier</x:v>
      </x:c>
      <x:c r="I77" s="2" t="str">
        <x:f t="shared" si="5"/>
        <x:v>Ajouter au catalogue</x:v>
      </x:c>
    </x:row>
    <x:row r="78" ht="15" customHeight="1">
      <x:c r="A78" s="2" t="str">
        <x:f>Reporting!C70</x:f>
        <x:v>ID_Flux</x:v>
      </x:c>
      <x:c r="B78" s="2" t="str">
        <x:f>Reporting!D70</x:f>
        <x:v>Domaine</x:v>
      </x:c>
      <x:c r="C78" s="2" t="str">
        <x:f>Reporting!E70</x:f>
        <x:v>Sous_Domaine</x:v>
      </x:c>
      <x:c r="D78" s="2" t="str">
        <x:f>IF(COUNTIF('98_Mapping_Technique'!$B$2:$B$5000,INDEX('98_Mapping_Technique'!$E$2:$E$5000,ROW()-4))&gt;0,"Trouvé","Non trouvé")</x:f>
        <x:v>Non trouvé</x:v>
      </x:c>
      <x:c r="E78" s="2" t="str">
        <x:f>IFERROR(INDEX('98_Mapping_Technique'!$A$2:$A$5000,MATCH(INDEX('98_Mapping_Technique'!$E$2:$E$5000,ROW()-4),'98_Mapping_Technique'!$B$2:$B$5000,0)),"")</x:f>
      </x:c>
      <x:c r="F78" s="2" t="str">
        <x:f>IFERROR(INDEX('01_Catalogue_Flux'!$B$5:$B$5000,MATCH(E78,'01_Catalogue_Flux'!$A$5:$A$5000,0)),"")</x:f>
      </x:c>
      <x:c r="G78" s="2" t="str">
        <x:f>IFERROR(INDEX('01_Catalogue_Flux'!$D$5:$D$5000,MATCH(E78,'01_Catalogue_Flux'!$A$5:$A$5000,0)),"")</x:f>
      </x:c>
      <x:c r="H78" s="2" t="str">
        <x:f t="shared" si="4"/>
        <x:v>À qualifier</x:v>
      </x:c>
      <x:c r="I78" s="2" t="str">
        <x:f t="shared" si="5"/>
        <x:v>Ajouter au catalogue</x:v>
      </x:c>
    </x:row>
    <x:row r="79" ht="15" customHeight="1">
      <x:c r="A79" s="2" t="str">
        <x:f>Reporting!C71</x:f>
        <x:v>MM4-1</x:v>
      </x:c>
      <x:c r="B79" s="2" t="str">
        <x:f>Reporting!D71</x:f>
        <x:v>Acquisition</x:v>
      </x:c>
      <x:c r="C79" s="2" t="str">
        <x:f>Reporting!E71</x:f>
        <x:v>Onboarding</x:v>
      </x:c>
      <x:c r="D79" s="2" t="str">
        <x:f>IF(COUNTIF('98_Mapping_Technique'!$B$2:$B$5000,INDEX('98_Mapping_Technique'!$E$2:$E$5000,ROW()-4))&gt;0,"Trouvé","Non trouvé")</x:f>
        <x:v>Non trouvé</x:v>
      </x:c>
      <x:c r="E79" s="2" t="str">
        <x:f>IFERROR(INDEX('98_Mapping_Technique'!$A$2:$A$5000,MATCH(INDEX('98_Mapping_Technique'!$E$2:$E$5000,ROW()-4),'98_Mapping_Technique'!$B$2:$B$5000,0)),"")</x:f>
      </x:c>
      <x:c r="F79" s="2" t="str">
        <x:f>IFERROR(INDEX('01_Catalogue_Flux'!$B$5:$B$5000,MATCH(E79,'01_Catalogue_Flux'!$A$5:$A$5000,0)),"")</x:f>
      </x:c>
      <x:c r="G79" s="2" t="str">
        <x:f>IFERROR(INDEX('01_Catalogue_Flux'!$D$5:$D$5000,MATCH(E79,'01_Catalogue_Flux'!$A$5:$A$5000,0)),"")</x:f>
      </x:c>
      <x:c r="H79" s="2" t="str">
        <x:f t="shared" si="4"/>
        <x:v>À qualifier</x:v>
      </x:c>
      <x:c r="I79" s="2" t="str">
        <x:f t="shared" si="5"/>
        <x:v>Ajouter au catalogue</x:v>
      </x:c>
    </x:row>
    <x:row r="80" ht="15" customHeight="1">
      <x:c r="A80" s="2" t="str">
        <x:f>Reporting!C72</x:f>
        <x:v>MM5-1</x:v>
      </x:c>
      <x:c r="B80" s="2" t="str">
        <x:f>Reporting!D72</x:f>
        <x:v>Acquisition</x:v>
      </x:c>
      <x:c r="C80" s="2" t="str">
        <x:f>Reporting!E72</x:f>
        <x:v>Onboarding</x:v>
      </x:c>
      <x:c r="D80" s="2" t="str">
        <x:f>IF(COUNTIF('98_Mapping_Technique'!$B$2:$B$5000,INDEX('98_Mapping_Technique'!$E$2:$E$5000,ROW()-4))&gt;0,"Trouvé","Non trouvé")</x:f>
        <x:v>Non trouvé</x:v>
      </x:c>
      <x:c r="E80" s="2" t="str">
        <x:f>IFERROR(INDEX('98_Mapping_Technique'!$A$2:$A$5000,MATCH(INDEX('98_Mapping_Technique'!$E$2:$E$5000,ROW()-4),'98_Mapping_Technique'!$B$2:$B$5000,0)),"")</x:f>
      </x:c>
      <x:c r="F80" s="2" t="str">
        <x:f>IFERROR(INDEX('01_Catalogue_Flux'!$B$5:$B$5000,MATCH(E80,'01_Catalogue_Flux'!$A$5:$A$5000,0)),"")</x:f>
      </x:c>
      <x:c r="G80" s="2" t="str">
        <x:f>IFERROR(INDEX('01_Catalogue_Flux'!$D$5:$D$5000,MATCH(E80,'01_Catalogue_Flux'!$A$5:$A$5000,0)),"")</x:f>
      </x:c>
      <x:c r="H80" s="2" t="str">
        <x:f t="shared" si="4"/>
        <x:v>À qualifier</x:v>
      </x:c>
      <x:c r="I80" s="2" t="str">
        <x:f t="shared" si="5"/>
        <x:v>Ajouter au catalogue</x:v>
      </x:c>
    </x:row>
    <x:row r="81" ht="15" customHeight="1">
      <x:c r="A81" s="2" t="str">
        <x:f>Reporting!C73</x:f>
        <x:v>MM7</x:v>
      </x:c>
      <x:c r="B81" s="2" t="str">
        <x:f>Reporting!D73</x:f>
        <x:v>Acquisition</x:v>
      </x:c>
      <x:c r="C81" s="2" t="str">
        <x:f>Reporting!E73</x:f>
        <x:v>Onboarding</x:v>
      </x:c>
      <x:c r="D81" s="2" t="str">
        <x:f>IF(COUNTIF('98_Mapping_Technique'!$B$2:$B$5000,INDEX('98_Mapping_Technique'!$E$2:$E$5000,ROW()-4))&gt;0,"Trouvé","Non trouvé")</x:f>
        <x:v>Non trouvé</x:v>
      </x:c>
      <x:c r="E81" s="2" t="str">
        <x:f>IFERROR(INDEX('98_Mapping_Technique'!$A$2:$A$5000,MATCH(INDEX('98_Mapping_Technique'!$E$2:$E$5000,ROW()-4),'98_Mapping_Technique'!$B$2:$B$5000,0)),"")</x:f>
      </x:c>
      <x:c r="F81" s="2" t="str">
        <x:f>IFERROR(INDEX('01_Catalogue_Flux'!$B$5:$B$5000,MATCH(E81,'01_Catalogue_Flux'!$A$5:$A$5000,0)),"")</x:f>
      </x:c>
      <x:c r="G81" s="2" t="str">
        <x:f>IFERROR(INDEX('01_Catalogue_Flux'!$D$5:$D$5000,MATCH(E81,'01_Catalogue_Flux'!$A$5:$A$5000,0)),"")</x:f>
      </x:c>
      <x:c r="H81" s="2" t="str">
        <x:f t="shared" si="4"/>
        <x:v>À qualifier</x:v>
      </x:c>
      <x:c r="I81" s="2" t="str">
        <x:f t="shared" si="5"/>
        <x:v>Ajouter au catalogue</x:v>
      </x:c>
    </x:row>
    <x:row r="82" ht="15" customHeight="1">
      <x:c r="A82" s="2" t="str">
        <x:f>Reporting!C74</x:f>
        <x:v>OA5-2</x:v>
      </x:c>
      <x:c r="B82" s="2" t="str">
        <x:f>Reporting!D74</x:f>
        <x:v>Acquisition</x:v>
      </x:c>
      <x:c r="C82" s="2" t="str">
        <x:f>Reporting!E74</x:f>
        <x:v>Authorize</x:v>
      </x:c>
      <x:c r="D82" s="2" t="str">
        <x:f>IF(COUNTIF('98_Mapping_Technique'!$B$2:$B$5000,INDEX('98_Mapping_Technique'!$E$2:$E$5000,ROW()-4))&gt;0,"Trouvé","Non trouvé")</x:f>
        <x:v>Non trouvé</x:v>
      </x:c>
      <x:c r="E82" s="2" t="str">
        <x:f>IFERROR(INDEX('98_Mapping_Technique'!$A$2:$A$5000,MATCH(INDEX('98_Mapping_Technique'!$E$2:$E$5000,ROW()-4),'98_Mapping_Technique'!$B$2:$B$5000,0)),"")</x:f>
      </x:c>
      <x:c r="F82" s="2" t="str">
        <x:f>IFERROR(INDEX('01_Catalogue_Flux'!$B$5:$B$5000,MATCH(E82,'01_Catalogue_Flux'!$A$5:$A$5000,0)),"")</x:f>
      </x:c>
      <x:c r="G82" s="2" t="str">
        <x:f>IFERROR(INDEX('01_Catalogue_Flux'!$D$5:$D$5000,MATCH(E82,'01_Catalogue_Flux'!$A$5:$A$5000,0)),"")</x:f>
      </x:c>
      <x:c r="H82" s="2" t="str">
        <x:f t="shared" si="4"/>
        <x:v>À qualifier</x:v>
      </x:c>
      <x:c r="I82" s="2" t="str">
        <x:f t="shared" si="5"/>
        <x:v>Ajouter au catalogue</x:v>
      </x:c>
    </x:row>
    <x:row r="83" ht="15" customHeight="1">
      <x:c r="A83" s="2" t="str">
        <x:f>Reporting!C75</x:f>
        <x:v>PC06-2</x:v>
      </x:c>
      <x:c r="B83" s="2" t="str">
        <x:f>Reporting!D75</x:f>
        <x:v>Acquisition</x:v>
      </x:c>
      <x:c r="C83" s="2" t="str">
        <x:f>Reporting!E75</x:f>
        <x:v>Crédit commerçant</x:v>
      </x:c>
      <x:c r="D83" s="2" t="str">
        <x:f>IF(COUNTIF('98_Mapping_Technique'!$B$2:$B$5000,INDEX('98_Mapping_Technique'!$E$2:$E$5000,ROW()-4))&gt;0,"Trouvé","Non trouvé")</x:f>
        <x:v>Non trouvé</x:v>
      </x:c>
      <x:c r="E83" s="2" t="str">
        <x:f>IFERROR(INDEX('98_Mapping_Technique'!$A$2:$A$5000,MATCH(INDEX('98_Mapping_Technique'!$E$2:$E$5000,ROW()-4),'98_Mapping_Technique'!$B$2:$B$5000,0)),"")</x:f>
      </x:c>
      <x:c r="F83" s="2" t="str">
        <x:f>IFERROR(INDEX('01_Catalogue_Flux'!$B$5:$B$5000,MATCH(E83,'01_Catalogue_Flux'!$A$5:$A$5000,0)),"")</x:f>
      </x:c>
      <x:c r="G83" s="2" t="str">
        <x:f>IFERROR(INDEX('01_Catalogue_Flux'!$D$5:$D$5000,MATCH(E83,'01_Catalogue_Flux'!$A$5:$A$5000,0)),"")</x:f>
      </x:c>
      <x:c r="H83" s="2" t="str">
        <x:f t="shared" si="4"/>
        <x:v>À qualifier</x:v>
      </x:c>
      <x:c r="I83" s="2" t="str">
        <x:f t="shared" si="5"/>
        <x:v>Ajouter au catalogue</x:v>
      </x:c>
    </x:row>
    <x:row r="84" ht="15" customHeight="1">
      <x:c r="A84" s="2" t="str">
        <x:f>Reporting!C76</x:f>
        <x:v>PC07</x:v>
      </x:c>
      <x:c r="B84" s="2" t="str">
        <x:f>Reporting!D76</x:f>
        <x:v>Acquisition</x:v>
      </x:c>
      <x:c r="C84" s="2" t="str">
        <x:f>Reporting!E76</x:f>
        <x:v>Crédit commerçant</x:v>
      </x:c>
      <x:c r="D84" s="2" t="str">
        <x:f>IF(COUNTIF('98_Mapping_Technique'!$B$2:$B$5000,INDEX('98_Mapping_Technique'!$E$2:$E$5000,ROW()-4))&gt;0,"Trouvé","Non trouvé")</x:f>
        <x:v>Non trouvé</x:v>
      </x:c>
      <x:c r="E84" s="2" t="str">
        <x:f>IFERROR(INDEX('98_Mapping_Technique'!$A$2:$A$5000,MATCH(INDEX('98_Mapping_Technique'!$E$2:$E$5000,ROW()-4),'98_Mapping_Technique'!$B$2:$B$5000,0)),"")</x:f>
      </x:c>
      <x:c r="F84" s="2" t="str">
        <x:f>IFERROR(INDEX('01_Catalogue_Flux'!$B$5:$B$5000,MATCH(E84,'01_Catalogue_Flux'!$A$5:$A$5000,0)),"")</x:f>
      </x:c>
      <x:c r="G84" s="2" t="str">
        <x:f>IFERROR(INDEX('01_Catalogue_Flux'!$D$5:$D$5000,MATCH(E84,'01_Catalogue_Flux'!$A$5:$A$5000,0)),"")</x:f>
      </x:c>
      <x:c r="H84" s="2" t="str">
        <x:f t="shared" si="4"/>
        <x:v>À qualifier</x:v>
      </x:c>
      <x:c r="I84" s="2" t="str">
        <x:f t="shared" si="5"/>
        <x:v>Ajouter au catalogue</x:v>
      </x:c>
    </x:row>
    <x:row r="85" ht="15" customHeight="1">
      <x:c r="A85" s="2" t="str">
        <x:f>Reporting!C77</x:f>
        <x:v>CMS4_001</x:v>
      </x:c>
      <x:c r="B85" s="2" t="str">
        <x:f>Reporting!D77</x:f>
        <x:v>Issuing</x:v>
      </x:c>
      <x:c r="C85" s="2" t="str">
        <x:f>Reporting!E77</x:f>
        <x:v>Onboarding</x:v>
      </x:c>
      <x:c r="D85" s="2" t="str">
        <x:f>IF(COUNTIF('98_Mapping_Technique'!$B$2:$B$5000,INDEX('98_Mapping_Technique'!$E$2:$E$5000,ROW()-4))&gt;0,"Trouvé","Non trouvé")</x:f>
        <x:v>Non trouvé</x:v>
      </x:c>
      <x:c r="E85" s="2" t="str">
        <x:f>IFERROR(INDEX('98_Mapping_Technique'!$A$2:$A$5000,MATCH(INDEX('98_Mapping_Technique'!$E$2:$E$5000,ROW()-4),'98_Mapping_Technique'!$B$2:$B$5000,0)),"")</x:f>
      </x:c>
      <x:c r="F85" s="2" t="str">
        <x:f>IFERROR(INDEX('01_Catalogue_Flux'!$B$5:$B$5000,MATCH(E85,'01_Catalogue_Flux'!$A$5:$A$5000,0)),"")</x:f>
      </x:c>
      <x:c r="G85" s="2" t="str">
        <x:f>IFERROR(INDEX('01_Catalogue_Flux'!$D$5:$D$5000,MATCH(E85,'01_Catalogue_Flux'!$A$5:$A$5000,0)),"")</x:f>
      </x:c>
      <x:c r="H85" s="2" t="str">
        <x:f t="shared" si="4"/>
        <x:v>À qualifier</x:v>
      </x:c>
      <x:c r="I85" s="2" t="str">
        <x:f t="shared" si="5"/>
        <x:v>Ajouter au catalogue</x:v>
      </x:c>
    </x:row>
    <x:row r="86" ht="15" customHeight="1">
      <x:c r="A86" s="2" t="str">
        <x:f>Reporting!C78</x:f>
        <x:v>CMS14_001</x:v>
      </x:c>
      <x:c r="B86" s="2" t="str">
        <x:f>Reporting!D78</x:f>
        <x:v>Issuing</x:v>
      </x:c>
      <x:c r="C86" s="2" t="str">
        <x:f>Reporting!E78</x:f>
        <x:v>Onboarding</x:v>
      </x:c>
      <x:c r="D86" s="2" t="str">
        <x:f>IF(COUNTIF('98_Mapping_Technique'!$B$2:$B$5000,INDEX('98_Mapping_Technique'!$E$2:$E$5000,ROW()-4))&gt;0,"Trouvé","Non trouvé")</x:f>
        <x:v>Non trouvé</x:v>
      </x:c>
      <x:c r="E86" s="2" t="str">
        <x:f>IFERROR(INDEX('98_Mapping_Technique'!$A$2:$A$5000,MATCH(INDEX('98_Mapping_Technique'!$E$2:$E$5000,ROW()-4),'98_Mapping_Technique'!$B$2:$B$5000,0)),"")</x:f>
      </x:c>
      <x:c r="F86" s="2" t="str">
        <x:f>IFERROR(INDEX('01_Catalogue_Flux'!$B$5:$B$5000,MATCH(E86,'01_Catalogue_Flux'!$A$5:$A$5000,0)),"")</x:f>
      </x:c>
      <x:c r="G86" s="2" t="str">
        <x:f>IFERROR(INDEX('01_Catalogue_Flux'!$D$5:$D$5000,MATCH(E86,'01_Catalogue_Flux'!$A$5:$A$5000,0)),"")</x:f>
      </x:c>
      <x:c r="H86" s="2" t="str">
        <x:f t="shared" si="4"/>
        <x:v>À qualifier</x:v>
      </x:c>
      <x:c r="I86" s="2" t="str">
        <x:f t="shared" si="5"/>
        <x:v>Ajouter au catalogue</x:v>
      </x:c>
    </x:row>
    <x:row r="87" ht="15" customHeight="1">
      <x:c r="A87" s="2" t="str">
        <x:f>Reporting!C79</x:f>
        <x:v>CMS14_002</x:v>
      </x:c>
      <x:c r="B87" s="2" t="str">
        <x:f>Reporting!D79</x:f>
        <x:v>Issuing</x:v>
      </x:c>
      <x:c r="C87" s="2" t="str">
        <x:f>Reporting!E79</x:f>
        <x:v>Onboarding</x:v>
      </x:c>
      <x:c r="D87" s="2" t="str">
        <x:f>IF(COUNTIF('98_Mapping_Technique'!$B$2:$B$5000,INDEX('98_Mapping_Technique'!$E$2:$E$5000,ROW()-4))&gt;0,"Trouvé","Non trouvé")</x:f>
        <x:v>Non trouvé</x:v>
      </x:c>
      <x:c r="E87" s="2" t="str">
        <x:f>IFERROR(INDEX('98_Mapping_Technique'!$A$2:$A$5000,MATCH(INDEX('98_Mapping_Technique'!$E$2:$E$5000,ROW()-4),'98_Mapping_Technique'!$B$2:$B$5000,0)),"")</x:f>
      </x:c>
      <x:c r="F87" s="2" t="str">
        <x:f>IFERROR(INDEX('01_Catalogue_Flux'!$B$5:$B$5000,MATCH(E87,'01_Catalogue_Flux'!$A$5:$A$5000,0)),"")</x:f>
      </x:c>
      <x:c r="G87" s="2" t="str">
        <x:f>IFERROR(INDEX('01_Catalogue_Flux'!$D$5:$D$5000,MATCH(E87,'01_Catalogue_Flux'!$A$5:$A$5000,0)),"")</x:f>
      </x:c>
      <x:c r="H87" s="2" t="str">
        <x:f t="shared" si="4"/>
        <x:v>À qualifier</x:v>
      </x:c>
      <x:c r="I87" s="2" t="str">
        <x:f t="shared" si="5"/>
        <x:v>Ajouter au catalogue</x:v>
      </x:c>
    </x:row>
    <x:row r="88" ht="15" customHeight="1">
      <x:c r="A88" s="2" t="str">
        <x:f>Reporting!C80</x:f>
        <x:v>CMS20_001</x:v>
      </x:c>
      <x:c r="B88" s="2" t="str">
        <x:f>Reporting!D80</x:f>
        <x:v>Issuing</x:v>
      </x:c>
      <x:c r="C88" s="2" t="str">
        <x:f>Reporting!E80</x:f>
        <x:v>Onboarding</x:v>
      </x:c>
      <x:c r="D88" s="2" t="str">
        <x:f>IF(COUNTIF('98_Mapping_Technique'!$B$2:$B$5000,INDEX('98_Mapping_Technique'!$E$2:$E$5000,ROW()-4))&gt;0,"Trouvé","Non trouvé")</x:f>
        <x:v>Non trouvé</x:v>
      </x:c>
      <x:c r="E88" s="2" t="str">
        <x:f>IFERROR(INDEX('98_Mapping_Technique'!$A$2:$A$5000,MATCH(INDEX('98_Mapping_Technique'!$E$2:$E$5000,ROW()-4),'98_Mapping_Technique'!$B$2:$B$5000,0)),"")</x:f>
      </x:c>
      <x:c r="F88" s="2" t="str">
        <x:f>IFERROR(INDEX('01_Catalogue_Flux'!$B$5:$B$5000,MATCH(E88,'01_Catalogue_Flux'!$A$5:$A$5000,0)),"")</x:f>
      </x:c>
      <x:c r="G88" s="2" t="str">
        <x:f>IFERROR(INDEX('01_Catalogue_Flux'!$D$5:$D$5000,MATCH(E88,'01_Catalogue_Flux'!$A$5:$A$5000,0)),"")</x:f>
      </x:c>
      <x:c r="H88" s="2" t="str">
        <x:f t="shared" si="4"/>
        <x:v>À qualifier</x:v>
      </x:c>
      <x:c r="I88" s="2" t="str">
        <x:f t="shared" si="5"/>
        <x:v>Ajouter au catalogue</x:v>
      </x:c>
    </x:row>
    <x:row r="89" ht="15" customHeight="1">
      <x:c r="A89" s="2" t="str">
        <x:f>Reporting!C81</x:f>
        <x:v>CMS37_001</x:v>
      </x:c>
      <x:c r="B89" s="2" t="str">
        <x:f>Reporting!D81</x:f>
        <x:v>Issuing</x:v>
      </x:c>
      <x:c r="C89" s="2" t="str">
        <x:f>Reporting!E81</x:f>
        <x:v>Onboarding</x:v>
      </x:c>
      <x:c r="D89" s="2" t="str">
        <x:f>IF(COUNTIF('98_Mapping_Technique'!$B$2:$B$5000,INDEX('98_Mapping_Technique'!$E$2:$E$5000,ROW()-4))&gt;0,"Trouvé","Non trouvé")</x:f>
        <x:v>Non trouvé</x:v>
      </x:c>
      <x:c r="E89" s="2" t="str">
        <x:f>IFERROR(INDEX('98_Mapping_Technique'!$A$2:$A$5000,MATCH(INDEX('98_Mapping_Technique'!$E$2:$E$5000,ROW()-4),'98_Mapping_Technique'!$B$2:$B$5000,0)),"")</x:f>
      </x:c>
      <x:c r="F89" s="2" t="str">
        <x:f>IFERROR(INDEX('01_Catalogue_Flux'!$B$5:$B$5000,MATCH(E89,'01_Catalogue_Flux'!$A$5:$A$5000,0)),"")</x:f>
      </x:c>
      <x:c r="G89" s="2" t="str">
        <x:f>IFERROR(INDEX('01_Catalogue_Flux'!$D$5:$D$5000,MATCH(E89,'01_Catalogue_Flux'!$A$5:$A$5000,0)),"")</x:f>
      </x:c>
      <x:c r="H89" s="2" t="str">
        <x:f t="shared" si="4"/>
        <x:v>À qualifier</x:v>
      </x:c>
      <x:c r="I89" s="2" t="str">
        <x:f t="shared" si="5"/>
        <x:v>Ajouter au catalogue</x:v>
      </x:c>
    </x:row>
    <x:row r="90" ht="15" customHeight="1">
      <x:c r="A90" s="2" t="str">
        <x:f>Reporting!C82</x:f>
        <x:v>CMS22</x:v>
      </x:c>
      <x:c r="B90" s="2" t="str">
        <x:f>Reporting!D82</x:f>
        <x:v>Issuing</x:v>
      </x:c>
      <x:c r="C90" s="2" t="str">
        <x:f>Reporting!E82</x:f>
        <x:v>Onboarding</x:v>
      </x:c>
      <x:c r="D90" s="2" t="str">
        <x:f>IF(COUNTIF('98_Mapping_Technique'!$B$2:$B$5000,INDEX('98_Mapping_Technique'!$E$2:$E$5000,ROW()-4))&gt;0,"Trouvé","Non trouvé")</x:f>
        <x:v>Non trouvé</x:v>
      </x:c>
      <x:c r="E90" s="2" t="str">
        <x:f>IFERROR(INDEX('98_Mapping_Technique'!$A$2:$A$5000,MATCH(INDEX('98_Mapping_Technique'!$E$2:$E$5000,ROW()-4),'98_Mapping_Technique'!$B$2:$B$5000,0)),"")</x:f>
      </x:c>
      <x:c r="F90" s="2" t="str">
        <x:f>IFERROR(INDEX('01_Catalogue_Flux'!$B$5:$B$5000,MATCH(E90,'01_Catalogue_Flux'!$A$5:$A$5000,0)),"")</x:f>
      </x:c>
      <x:c r="G90" s="2" t="str">
        <x:f>IFERROR(INDEX('01_Catalogue_Flux'!$D$5:$D$5000,MATCH(E90,'01_Catalogue_Flux'!$A$5:$A$5000,0)),"")</x:f>
      </x:c>
      <x:c r="H90" s="2" t="str">
        <x:f t="shared" si="4"/>
        <x:v>À qualifier</x:v>
      </x:c>
      <x:c r="I90" s="2" t="str">
        <x:f t="shared" si="5"/>
        <x:v>Ajouter au catalogue</x:v>
      </x:c>
    </x:row>
    <x:row r="91" ht="15" customHeight="1">
      <x:c r="A91" s="2" t="str">
        <x:f>Reporting!C83</x:f>
        <x:v>CMS14_003</x:v>
      </x:c>
      <x:c r="B91" s="2" t="str">
        <x:f>Reporting!D83</x:f>
        <x:v>Issuing</x:v>
      </x:c>
      <x:c r="C91" s="2" t="str">
        <x:f>Reporting!E83</x:f>
        <x:v>Onboarding</x:v>
      </x:c>
      <x:c r="D91" s="2" t="str">
        <x:f>IF(COUNTIF('98_Mapping_Technique'!$B$2:$B$5000,INDEX('98_Mapping_Technique'!$E$2:$E$5000,ROW()-4))&gt;0,"Trouvé","Non trouvé")</x:f>
        <x:v>Non trouvé</x:v>
      </x:c>
      <x:c r="E91" s="2" t="str">
        <x:f>IFERROR(INDEX('98_Mapping_Technique'!$A$2:$A$5000,MATCH(INDEX('98_Mapping_Technique'!$E$2:$E$5000,ROW()-4),'98_Mapping_Technique'!$B$2:$B$5000,0)),"")</x:f>
      </x:c>
      <x:c r="F91" s="2" t="str">
        <x:f>IFERROR(INDEX('01_Catalogue_Flux'!$B$5:$B$5000,MATCH(E91,'01_Catalogue_Flux'!$A$5:$A$5000,0)),"")</x:f>
      </x:c>
      <x:c r="G91" s="2" t="str">
        <x:f>IFERROR(INDEX('01_Catalogue_Flux'!$D$5:$D$5000,MATCH(E91,'01_Catalogue_Flux'!$A$5:$A$5000,0)),"")</x:f>
      </x:c>
      <x:c r="H91" s="2" t="str">
        <x:f t="shared" si="4"/>
        <x:v>À qualifier</x:v>
      </x:c>
      <x:c r="I91" s="2" t="str">
        <x:f t="shared" si="5"/>
        <x:v>Ajouter au catalogue</x:v>
      </x:c>
    </x:row>
    <x:row r="92" ht="15" customHeight="1">
      <x:c r="A92" s="2" t="str">
        <x:f>Reporting!C84</x:f>
        <x:v>OA3_002</x:v>
      </x:c>
      <x:c r="B92" s="2" t="str">
        <x:f>Reporting!D84</x:f>
        <x:v>Issuing</x:v>
      </x:c>
      <x:c r="C92" s="2" t="str">
        <x:f>Reporting!E84</x:f>
        <x:v>Authorize / Paiement</x:v>
      </x:c>
      <x:c r="D92" s="2" t="str">
        <x:f>IF(COUNTIF('98_Mapping_Technique'!$B$2:$B$5000,INDEX('98_Mapping_Technique'!$E$2:$E$5000,ROW()-4))&gt;0,"Trouvé","Non trouvé")</x:f>
        <x:v>Non trouvé</x:v>
      </x:c>
      <x:c r="E92" s="2" t="str">
        <x:f>IFERROR(INDEX('98_Mapping_Technique'!$A$2:$A$5000,MATCH(INDEX('98_Mapping_Technique'!$E$2:$E$5000,ROW()-4),'98_Mapping_Technique'!$B$2:$B$5000,0)),"")</x:f>
      </x:c>
      <x:c r="F92" s="2" t="str">
        <x:f>IFERROR(INDEX('01_Catalogue_Flux'!$B$5:$B$5000,MATCH(E92,'01_Catalogue_Flux'!$A$5:$A$5000,0)),"")</x:f>
      </x:c>
      <x:c r="G92" s="2" t="str">
        <x:f>IFERROR(INDEX('01_Catalogue_Flux'!$D$5:$D$5000,MATCH(E92,'01_Catalogue_Flux'!$A$5:$A$5000,0)),"")</x:f>
      </x:c>
      <x:c r="H92" s="2" t="str">
        <x:f t="shared" si="4"/>
        <x:v>À qualifier</x:v>
      </x:c>
      <x:c r="I92" s="2" t="str">
        <x:f t="shared" si="5"/>
        <x:v>Ajouter au catalogue</x:v>
      </x:c>
    </x:row>
    <x:row r="93" ht="15" customHeight="1">
      <x:c r="A93" s="2" t="str">
        <x:f>Reporting!C85</x:f>
        <x:v>CNT-EM6</x:v>
      </x:c>
      <x:c r="B93" s="2" t="str">
        <x:f>Reporting!D85</x:f>
        <x:v>Issuing</x:v>
      </x:c>
      <x:c r="C93" s="2" t="str">
        <x:f>Reporting!E85</x:f>
        <x:v>Contestation</x:v>
      </x:c>
      <x:c r="D93" s="2" t="str">
        <x:f>IF(COUNTIF('98_Mapping_Technique'!$B$2:$B$5000,INDEX('98_Mapping_Technique'!$E$2:$E$5000,ROW()-4))&gt;0,"Trouvé","Non trouvé")</x:f>
        <x:v>Non trouvé</x:v>
      </x:c>
      <x:c r="E93" s="2" t="str">
        <x:f>IFERROR(INDEX('98_Mapping_Technique'!$A$2:$A$5000,MATCH(INDEX('98_Mapping_Technique'!$E$2:$E$5000,ROW()-4),'98_Mapping_Technique'!$B$2:$B$5000,0)),"")</x:f>
      </x:c>
      <x:c r="F93" s="2" t="str">
        <x:f>IFERROR(INDEX('01_Catalogue_Flux'!$B$5:$B$5000,MATCH(E93,'01_Catalogue_Flux'!$A$5:$A$5000,0)),"")</x:f>
      </x:c>
      <x:c r="G93" s="2" t="str">
        <x:f>IFERROR(INDEX('01_Catalogue_Flux'!$D$5:$D$5000,MATCH(E93,'01_Catalogue_Flux'!$A$5:$A$5000,0)),"")</x:f>
      </x:c>
      <x:c r="H93" s="2" t="str">
        <x:f t="shared" si="4"/>
        <x:v>À qualifier</x:v>
      </x:c>
      <x:c r="I93" s="2" t="str">
        <x:f t="shared" si="5"/>
        <x:v>Ajouter au catalogue</x:v>
      </x:c>
    </x:row>
    <x:row r="94" ht="15" customHeight="1">
      <x:c r="A94" s="2" t="str">
        <x:f>Reporting!C86</x:f>
        <x:v>CNT-EM9</x:v>
      </x:c>
      <x:c r="B94" s="2" t="str">
        <x:f>Reporting!D86</x:f>
        <x:v>Issuing</x:v>
      </x:c>
      <x:c r="C94" s="2" t="str">
        <x:f>Reporting!E86</x:f>
        <x:v>Contestation</x:v>
      </x:c>
      <x:c r="D94" s="2" t="str">
        <x:f>IF(COUNTIF('98_Mapping_Technique'!$B$2:$B$5000,INDEX('98_Mapping_Technique'!$E$2:$E$5000,ROW()-4))&gt;0,"Trouvé","Non trouvé")</x:f>
        <x:v>Non trouvé</x:v>
      </x:c>
      <x:c r="E94" s="2" t="str">
        <x:f>IFERROR(INDEX('98_Mapping_Technique'!$A$2:$A$5000,MATCH(INDEX('98_Mapping_Technique'!$E$2:$E$5000,ROW()-4),'98_Mapping_Technique'!$B$2:$B$5000,0)),"")</x:f>
      </x:c>
      <x:c r="F94" s="2" t="str">
        <x:f>IFERROR(INDEX('01_Catalogue_Flux'!$B$5:$B$5000,MATCH(E94,'01_Catalogue_Flux'!$A$5:$A$5000,0)),"")</x:f>
      </x:c>
      <x:c r="G94" s="2" t="str">
        <x:f>IFERROR(INDEX('01_Catalogue_Flux'!$D$5:$D$5000,MATCH(E94,'01_Catalogue_Flux'!$A$5:$A$5000,0)),"")</x:f>
      </x:c>
      <x:c r="H94" s="2" t="str">
        <x:f t="shared" si="4"/>
        <x:v>À qualifier</x:v>
      </x:c>
      <x:c r="I94" s="2" t="str">
        <x:f t="shared" si="5"/>
        <x:v>Ajouter au catalogue</x:v>
      </x:c>
    </x:row>
    <x:row r="95" ht="15" customHeight="1">
      <x:c r="A95" s="2" t="str">
        <x:f>Reporting!C87</x:f>
        <x:v>CNT-EM15</x:v>
      </x:c>
      <x:c r="B95" s="2" t="str">
        <x:f>Reporting!D87</x:f>
        <x:v>Issuing</x:v>
      </x:c>
      <x:c r="C95" s="2" t="str">
        <x:f>Reporting!E87</x:f>
        <x:v>Contestation</x:v>
      </x:c>
      <x:c r="D95" s="2" t="str">
        <x:f>IF(COUNTIF('98_Mapping_Technique'!$B$2:$B$5000,INDEX('98_Mapping_Technique'!$E$2:$E$5000,ROW()-4))&gt;0,"Trouvé","Non trouvé")</x:f>
        <x:v>Non trouvé</x:v>
      </x:c>
      <x:c r="E95" s="2" t="str">
        <x:f>IFERROR(INDEX('98_Mapping_Technique'!$A$2:$A$5000,MATCH(INDEX('98_Mapping_Technique'!$E$2:$E$5000,ROW()-4),'98_Mapping_Technique'!$B$2:$B$5000,0)),"")</x:f>
      </x:c>
      <x:c r="F95" s="2" t="str">
        <x:f>IFERROR(INDEX('01_Catalogue_Flux'!$B$5:$B$5000,MATCH(E95,'01_Catalogue_Flux'!$A$5:$A$5000,0)),"")</x:f>
      </x:c>
      <x:c r="G95" s="2" t="str">
        <x:f>IFERROR(INDEX('01_Catalogue_Flux'!$D$5:$D$5000,MATCH(E95,'01_Catalogue_Flux'!$A$5:$A$5000,0)),"")</x:f>
      </x:c>
      <x:c r="H95" s="2" t="str">
        <x:f t="shared" si="4"/>
        <x:v>À qualifier</x:v>
      </x:c>
      <x:c r="I95" s="2" t="str">
        <x:f t="shared" si="5"/>
        <x:v>Ajouter au catalogue</x:v>
      </x:c>
    </x:row>
    <x:row r="96" ht="15" customHeight="1">
      <x:c r="A96" s="2" t="str">
        <x:f>Reporting!C88</x:f>
        <x:v>CNT-EM18</x:v>
      </x:c>
      <x:c r="B96" s="2" t="str">
        <x:f>Reporting!D88</x:f>
        <x:v>Issuing</x:v>
      </x:c>
      <x:c r="C96" s="2" t="str">
        <x:f>Reporting!E88</x:f>
        <x:v>Contestation</x:v>
      </x:c>
      <x:c r="D96" s="2" t="str">
        <x:f>IF(COUNTIF('98_Mapping_Technique'!$B$2:$B$5000,INDEX('98_Mapping_Technique'!$E$2:$E$5000,ROW()-4))&gt;0,"Trouvé","Non trouvé")</x:f>
        <x:v>Non trouvé</x:v>
      </x:c>
      <x:c r="E96" s="2" t="str">
        <x:f>IFERROR(INDEX('98_Mapping_Technique'!$A$2:$A$5000,MATCH(INDEX('98_Mapping_Technique'!$E$2:$E$5000,ROW()-4),'98_Mapping_Technique'!$B$2:$B$5000,0)),"")</x:f>
      </x:c>
      <x:c r="F96" s="2" t="str">
        <x:f>IFERROR(INDEX('01_Catalogue_Flux'!$B$5:$B$5000,MATCH(E96,'01_Catalogue_Flux'!$A$5:$A$5000,0)),"")</x:f>
      </x:c>
      <x:c r="G96" s="2" t="str">
        <x:f>IFERROR(INDEX('01_Catalogue_Flux'!$D$5:$D$5000,MATCH(E96,'01_Catalogue_Flux'!$A$5:$A$5000,0)),"")</x:f>
      </x:c>
      <x:c r="H96" s="2" t="str">
        <x:f t="shared" si="4"/>
        <x:v>À qualifier</x:v>
      </x:c>
      <x:c r="I96" s="2" t="str">
        <x:f t="shared" si="5"/>
        <x:v>Ajouter au catalogue</x:v>
      </x:c>
    </x:row>
    <x:row r="97" ht="15" customHeight="1">
      <x:c r="A97" s="2" t="str">
        <x:f>Reporting!C89</x:f>
        <x:v>DMS12-1</x:v>
      </x:c>
      <x:c r="B97" s="2" t="str">
        <x:f>Reporting!D89</x:f>
        <x:v>Issuing</x:v>
      </x:c>
      <x:c r="C97" s="2" t="str">
        <x:f>Reporting!E89</x:f>
        <x:v>GED</x:v>
      </x:c>
      <x:c r="D97" s="2" t="str">
        <x:f>IF(COUNTIF('98_Mapping_Technique'!$B$2:$B$5000,INDEX('98_Mapping_Technique'!$E$2:$E$5000,ROW()-4))&gt;0,"Trouvé","Non trouvé")</x:f>
        <x:v>Non trouvé</x:v>
      </x:c>
      <x:c r="E97" s="2" t="str">
        <x:f>IFERROR(INDEX('98_Mapping_Technique'!$A$2:$A$5000,MATCH(INDEX('98_Mapping_Technique'!$E$2:$E$5000,ROW()-4),'98_Mapping_Technique'!$B$2:$B$5000,0)),"")</x:f>
      </x:c>
      <x:c r="F97" s="2" t="str">
        <x:f>IFERROR(INDEX('01_Catalogue_Flux'!$B$5:$B$5000,MATCH(E97,'01_Catalogue_Flux'!$A$5:$A$5000,0)),"")</x:f>
      </x:c>
      <x:c r="G97" s="2" t="str">
        <x:f>IFERROR(INDEX('01_Catalogue_Flux'!$D$5:$D$5000,MATCH(E97,'01_Catalogue_Flux'!$A$5:$A$5000,0)),"")</x:f>
      </x:c>
      <x:c r="H97" s="2" t="str">
        <x:f t="shared" si="4"/>
        <x:v>À qualifier</x:v>
      </x:c>
      <x:c r="I97" s="2" t="str">
        <x:f t="shared" si="5"/>
        <x:v>Ajouter au catalogue</x:v>
      </x:c>
    </x:row>
    <x:row r="98" ht="15" customHeight="1">
      <x:c r="A98" s="2" t="str">
        <x:f>Reporting!C90</x:f>
        <x:v>DMS12-2</x:v>
      </x:c>
      <x:c r="B98" s="2" t="str">
        <x:f>Reporting!D90</x:f>
        <x:v>Issuing</x:v>
      </x:c>
      <x:c r="C98" s="2" t="str">
        <x:f>Reporting!E90</x:f>
        <x:v>GED</x:v>
      </x:c>
      <x:c r="D98" s="2" t="str">
        <x:f>IF(COUNTIF('98_Mapping_Technique'!$B$2:$B$5000,INDEX('98_Mapping_Technique'!$E$2:$E$5000,ROW()-4))&gt;0,"Trouvé","Non trouvé")</x:f>
        <x:v>Non trouvé</x:v>
      </x:c>
      <x:c r="E98" s="2" t="str">
        <x:f>IFERROR(INDEX('98_Mapping_Technique'!$A$2:$A$5000,MATCH(INDEX('98_Mapping_Technique'!$E$2:$E$5000,ROW()-4),'98_Mapping_Technique'!$B$2:$B$5000,0)),"")</x:f>
      </x:c>
      <x:c r="F98" s="2" t="str">
        <x:f>IFERROR(INDEX('01_Catalogue_Flux'!$B$5:$B$5000,MATCH(E98,'01_Catalogue_Flux'!$A$5:$A$5000,0)),"")</x:f>
      </x:c>
      <x:c r="G98" s="2" t="str">
        <x:f>IFERROR(INDEX('01_Catalogue_Flux'!$D$5:$D$5000,MATCH(E98,'01_Catalogue_Flux'!$A$5:$A$5000,0)),"")</x:f>
      </x:c>
      <x:c r="H98" s="2" t="str">
        <x:f t="shared" si="4"/>
        <x:v>À qualifier</x:v>
      </x:c>
      <x:c r="I98" s="2" t="str">
        <x:f t="shared" si="5"/>
        <x:v>Ajouter au catalogue</x:v>
      </x:c>
    </x:row>
    <x:row r="99" ht="15" customHeight="1">
      <x:c r="A99" s="2" t="str">
        <x:f>Reporting!C91</x:f>
        <x:v>MM4-1</x:v>
      </x:c>
      <x:c r="B99" s="2" t="str">
        <x:f>Reporting!D91</x:f>
        <x:v>Acquisition</x:v>
      </x:c>
      <x:c r="C99" s="2" t="str">
        <x:f>Reporting!E91</x:f>
        <x:v>Onboarding</x:v>
      </x:c>
      <x:c r="D99" s="2" t="str">
        <x:f>IF(COUNTIF('98_Mapping_Technique'!$B$2:$B$5000,INDEX('98_Mapping_Technique'!$E$2:$E$5000,ROW()-4))&gt;0,"Trouvé","Non trouvé")</x:f>
        <x:v>Non trouvé</x:v>
      </x:c>
      <x:c r="E99" s="2" t="str">
        <x:f>IFERROR(INDEX('98_Mapping_Technique'!$A$2:$A$5000,MATCH(INDEX('98_Mapping_Technique'!$E$2:$E$5000,ROW()-4),'98_Mapping_Technique'!$B$2:$B$5000,0)),"")</x:f>
      </x:c>
      <x:c r="F99" s="2" t="str">
        <x:f>IFERROR(INDEX('01_Catalogue_Flux'!$B$5:$B$5000,MATCH(E99,'01_Catalogue_Flux'!$A$5:$A$5000,0)),"")</x:f>
      </x:c>
      <x:c r="G99" s="2" t="str">
        <x:f>IFERROR(INDEX('01_Catalogue_Flux'!$D$5:$D$5000,MATCH(E99,'01_Catalogue_Flux'!$A$5:$A$5000,0)),"")</x:f>
      </x:c>
      <x:c r="H99" s="2" t="str">
        <x:f t="shared" si="4"/>
        <x:v>À qualifier</x:v>
      </x:c>
      <x:c r="I99" s="2" t="str">
        <x:f t="shared" si="5"/>
        <x:v>Ajouter au catalogue</x:v>
      </x:c>
    </x:row>
    <x:row r="100" ht="15" customHeight="1">
      <x:c r="A100" s="2" t="str">
        <x:f>Reporting!C92</x:f>
        <x:v>MM4-2</x:v>
      </x:c>
      <x:c r="B100" s="2" t="str">
        <x:f>Reporting!D92</x:f>
        <x:v>Acquisition</x:v>
      </x:c>
      <x:c r="C100" s="2" t="str">
        <x:f>Reporting!E92</x:f>
        <x:v>Onboarding</x:v>
      </x:c>
      <x:c r="D100" s="2" t="str">
        <x:f>IF(COUNTIF('98_Mapping_Technique'!$B$2:$B$5000,INDEX('98_Mapping_Technique'!$E$2:$E$5000,ROW()-4))&gt;0,"Trouvé","Non trouvé")</x:f>
        <x:v>Non trouvé</x:v>
      </x:c>
      <x:c r="E100" s="2" t="str">
        <x:f>IFERROR(INDEX('98_Mapping_Technique'!$A$2:$A$5000,MATCH(INDEX('98_Mapping_Technique'!$E$2:$E$5000,ROW()-4),'98_Mapping_Technique'!$B$2:$B$5000,0)),"")</x:f>
      </x:c>
      <x:c r="F100" s="2" t="str">
        <x:f>IFERROR(INDEX('01_Catalogue_Flux'!$B$5:$B$5000,MATCH(E100,'01_Catalogue_Flux'!$A$5:$A$5000,0)),"")</x:f>
      </x:c>
      <x:c r="G100" s="2" t="str">
        <x:f>IFERROR(INDEX('01_Catalogue_Flux'!$D$5:$D$5000,MATCH(E100,'01_Catalogue_Flux'!$A$5:$A$5000,0)),"")</x:f>
      </x:c>
      <x:c r="H100" s="2" t="str">
        <x:f t="shared" si="4"/>
        <x:v>À qualifier</x:v>
      </x:c>
      <x:c r="I100" s="2" t="str">
        <x:f t="shared" si="5"/>
        <x:v>Ajouter au catalogue</x:v>
      </x:c>
    </x:row>
    <x:row r="101" ht="15" customHeight="1">
      <x:c r="A101" s="2" t="str">
        <x:f>Reporting!C93</x:f>
        <x:v>MM4-3</x:v>
      </x:c>
      <x:c r="B101" s="2" t="str">
        <x:f>Reporting!D93</x:f>
        <x:v>Acquisition</x:v>
      </x:c>
      <x:c r="C101" s="2" t="str">
        <x:f>Reporting!E93</x:f>
        <x:v>Onboarding</x:v>
      </x:c>
      <x:c r="D101" s="2" t="str">
        <x:f>IF(COUNTIF('98_Mapping_Technique'!$B$2:$B$5000,INDEX('98_Mapping_Technique'!$E$2:$E$5000,ROW()-4))&gt;0,"Trouvé","Non trouvé")</x:f>
        <x:v>Trouvé</x:v>
      </x:c>
      <x:c r="E101" s="2" t="str">
        <x:f>IFERROR(INDEX('98_Mapping_Technique'!$A$2:$A$5000,MATCH(INDEX('98_Mapping_Technique'!$E$2:$E$5000,ROW()-4),'98_Mapping_Technique'!$B$2:$B$5000,0)),"")</x:f>
        <x:v>ACQ-MM4-3</x:v>
      </x:c>
      <x:c r="F101" s="2" t="str">
        <x:f>IFERROR(INDEX('01_Catalogue_Flux'!$B$5:$B$5000,MATCH(E101,'01_Catalogue_Flux'!$A$5:$A$5000,0)),"")</x:f>
        <x:v>Acquisition</x:v>
      </x:c>
      <x:c r="G101" s="2" t="str">
        <x:f>IFERROR(INDEX('01_Catalogue_Flux'!$D$5:$D$5000,MATCH(E101,'01_Catalogue_Flux'!$A$5:$A$5000,0)),"")</x:f>
        <x:v>Onboarding</x:v>
      </x:c>
      <x:c r="H101" s="2" t="str">
        <x:f t="shared" ref="H101:H108" si="6">IF(D101="Non trouvé","À qualifier",IF(B101=F101,"OK","Domaine différent"))</x:f>
        <x:v>OK</x:v>
      </x:c>
      <x:c r="I101" s="2" t="str">
        <x:f t="shared" ref="I101:I108" si="7">IF(D101="Non trouvé","Ajouter au catalogue",IF(H101="OK","Aucune","Vérifier le mapping"))</x:f>
        <x:v>Aucune</x:v>
      </x:c>
    </x:row>
    <x:row r="102" ht="15" customHeight="1">
      <x:c r="A102" s="2" t="str">
        <x:f>Reporting!C94</x:f>
        <x:v>MM4-4</x:v>
      </x:c>
      <x:c r="B102" s="2" t="str">
        <x:f>Reporting!D94</x:f>
        <x:v>Acquisition</x:v>
      </x:c>
      <x:c r="C102" s="2" t="str">
        <x:f>Reporting!E94</x:f>
        <x:v>Onboarding</x:v>
      </x:c>
      <x:c r="D102" s="2" t="str">
        <x:f>IF(COUNTIF('98_Mapping_Technique'!$B$2:$B$5000,INDEX('98_Mapping_Technique'!$E$2:$E$5000,ROW()-4))&gt;0,"Trouvé","Non trouvé")</x:f>
        <x:v>Non trouvé</x:v>
      </x:c>
      <x:c r="E102" s="2" t="str">
        <x:f>IFERROR(INDEX('98_Mapping_Technique'!$A$2:$A$5000,MATCH(INDEX('98_Mapping_Technique'!$E$2:$E$5000,ROW()-4),'98_Mapping_Technique'!$B$2:$B$5000,0)),"")</x:f>
      </x:c>
      <x:c r="F102" s="2" t="str">
        <x:f>IFERROR(INDEX('01_Catalogue_Flux'!$B$5:$B$5000,MATCH(E102,'01_Catalogue_Flux'!$A$5:$A$5000,0)),"")</x:f>
      </x:c>
      <x:c r="G102" s="2" t="str">
        <x:f>IFERROR(INDEX('01_Catalogue_Flux'!$D$5:$D$5000,MATCH(E102,'01_Catalogue_Flux'!$A$5:$A$5000,0)),"")</x:f>
      </x:c>
      <x:c r="H102" s="2" t="str">
        <x:f t="shared" si="6"/>
        <x:v>À qualifier</x:v>
      </x:c>
      <x:c r="I102" s="2" t="str">
        <x:f t="shared" si="7"/>
        <x:v>Ajouter au catalogue</x:v>
      </x:c>
    </x:row>
    <x:row r="103" ht="15" customHeight="1">
      <x:c r="A103" s="2" t="str">
        <x:f>Reporting!C95</x:f>
        <x:v>MM4-5</x:v>
      </x:c>
      <x:c r="B103" s="2" t="str">
        <x:f>Reporting!D95</x:f>
        <x:v>Acquisition</x:v>
      </x:c>
      <x:c r="C103" s="2" t="str">
        <x:f>Reporting!E95</x:f>
        <x:v>Onboarding</x:v>
      </x:c>
      <x:c r="D103" s="2" t="str">
        <x:f>IF(COUNTIF('98_Mapping_Technique'!$B$2:$B$5000,INDEX('98_Mapping_Technique'!$E$2:$E$5000,ROW()-4))&gt;0,"Trouvé","Non trouvé")</x:f>
        <x:v>Non trouvé</x:v>
      </x:c>
      <x:c r="E103" s="2" t="str">
        <x:f>IFERROR(INDEX('98_Mapping_Technique'!$A$2:$A$5000,MATCH(INDEX('98_Mapping_Technique'!$E$2:$E$5000,ROW()-4),'98_Mapping_Technique'!$B$2:$B$5000,0)),"")</x:f>
      </x:c>
      <x:c r="F103" s="2" t="str">
        <x:f>IFERROR(INDEX('01_Catalogue_Flux'!$B$5:$B$5000,MATCH(E103,'01_Catalogue_Flux'!$A$5:$A$5000,0)),"")</x:f>
      </x:c>
      <x:c r="G103" s="2" t="str">
        <x:f>IFERROR(INDEX('01_Catalogue_Flux'!$D$5:$D$5000,MATCH(E103,'01_Catalogue_Flux'!$A$5:$A$5000,0)),"")</x:f>
      </x:c>
      <x:c r="H103" s="2" t="str">
        <x:f t="shared" si="6"/>
        <x:v>À qualifier</x:v>
      </x:c>
      <x:c r="I103" s="2" t="str">
        <x:f t="shared" si="7"/>
        <x:v>Ajouter au catalogue</x:v>
      </x:c>
    </x:row>
    <x:row r="104" ht="15" customHeight="1">
      <x:c r="A104" s="2" t="str">
        <x:f>Reporting!C96</x:f>
        <x:v>MM5-1</x:v>
      </x:c>
      <x:c r="B104" s="2" t="str">
        <x:f>Reporting!D96</x:f>
        <x:v>Acquisition</x:v>
      </x:c>
      <x:c r="C104" s="2" t="str">
        <x:f>Reporting!E96</x:f>
        <x:v>Onboarding</x:v>
      </x:c>
      <x:c r="D104" s="2" t="str">
        <x:f>IF(COUNTIF('98_Mapping_Technique'!$B$2:$B$5000,INDEX('98_Mapping_Technique'!$E$2:$E$5000,ROW()-4))&gt;0,"Trouvé","Non trouvé")</x:f>
        <x:v>Non trouvé</x:v>
      </x:c>
      <x:c r="E104" s="2" t="str">
        <x:f>IFERROR(INDEX('98_Mapping_Technique'!$A$2:$A$5000,MATCH(INDEX('98_Mapping_Technique'!$E$2:$E$5000,ROW()-4),'98_Mapping_Technique'!$B$2:$B$5000,0)),"")</x:f>
      </x:c>
      <x:c r="F104" s="2" t="str">
        <x:f>IFERROR(INDEX('01_Catalogue_Flux'!$B$5:$B$5000,MATCH(E104,'01_Catalogue_Flux'!$A$5:$A$5000,0)),"")</x:f>
      </x:c>
      <x:c r="G104" s="2" t="str">
        <x:f>IFERROR(INDEX('01_Catalogue_Flux'!$D$5:$D$5000,MATCH(E104,'01_Catalogue_Flux'!$A$5:$A$5000,0)),"")</x:f>
      </x:c>
      <x:c r="H104" s="2" t="str">
        <x:f t="shared" si="6"/>
        <x:v>À qualifier</x:v>
      </x:c>
      <x:c r="I104" s="2" t="str">
        <x:f t="shared" si="7"/>
        <x:v>Ajouter au catalogue</x:v>
      </x:c>
    </x:row>
    <x:row r="105" ht="15" customHeight="1">
      <x:c r="A105" s="2" t="str">
        <x:f>Reporting!C97</x:f>
        <x:v>MM5-2</x:v>
      </x:c>
      <x:c r="B105" s="2" t="str">
        <x:f>Reporting!D97</x:f>
        <x:v>Acquisition</x:v>
      </x:c>
      <x:c r="C105" s="2" t="str">
        <x:f>Reporting!E97</x:f>
        <x:v>Onboarding</x:v>
      </x:c>
      <x:c r="D105" s="2" t="str">
        <x:f>IF(COUNTIF('98_Mapping_Technique'!$B$2:$B$5000,INDEX('98_Mapping_Technique'!$E$2:$E$5000,ROW()-4))&gt;0,"Trouvé","Non trouvé")</x:f>
        <x:v>Non trouvé</x:v>
      </x:c>
      <x:c r="E105" s="2" t="str">
        <x:f>IFERROR(INDEX('98_Mapping_Technique'!$A$2:$A$5000,MATCH(INDEX('98_Mapping_Technique'!$E$2:$E$5000,ROW()-4),'98_Mapping_Technique'!$B$2:$B$5000,0)),"")</x:f>
      </x:c>
      <x:c r="F105" s="2" t="str">
        <x:f>IFERROR(INDEX('01_Catalogue_Flux'!$B$5:$B$5000,MATCH(E105,'01_Catalogue_Flux'!$A$5:$A$5000,0)),"")</x:f>
      </x:c>
      <x:c r="G105" s="2" t="str">
        <x:f>IFERROR(INDEX('01_Catalogue_Flux'!$D$5:$D$5000,MATCH(E105,'01_Catalogue_Flux'!$A$5:$A$5000,0)),"")</x:f>
      </x:c>
      <x:c r="H105" s="2" t="str">
        <x:f t="shared" si="6"/>
        <x:v>À qualifier</x:v>
      </x:c>
      <x:c r="I105" s="2" t="str">
        <x:f t="shared" si="7"/>
        <x:v>Ajouter au catalogue</x:v>
      </x:c>
    </x:row>
    <x:row r="106" ht="15" customHeight="1">
      <x:c r="A106" s="2" t="str">
        <x:f>Reporting!C98</x:f>
        <x:v>MM5-3</x:v>
      </x:c>
      <x:c r="B106" s="2" t="str">
        <x:f>Reporting!D98</x:f>
        <x:v>Acquisition</x:v>
      </x:c>
      <x:c r="C106" s="2" t="str">
        <x:f>Reporting!E98</x:f>
        <x:v>Onboarding</x:v>
      </x:c>
      <x:c r="D106" s="2" t="str">
        <x:f>IF(COUNTIF('98_Mapping_Technique'!$B$2:$B$5000,INDEX('98_Mapping_Technique'!$E$2:$E$5000,ROW()-4))&gt;0,"Trouvé","Non trouvé")</x:f>
        <x:v>Non trouvé</x:v>
      </x:c>
      <x:c r="E106" s="2" t="str">
        <x:f>IFERROR(INDEX('98_Mapping_Technique'!$A$2:$A$5000,MATCH(INDEX('98_Mapping_Technique'!$E$2:$E$5000,ROW()-4),'98_Mapping_Technique'!$B$2:$B$5000,0)),"")</x:f>
      </x:c>
      <x:c r="F106" s="2" t="str">
        <x:f>IFERROR(INDEX('01_Catalogue_Flux'!$B$5:$B$5000,MATCH(E106,'01_Catalogue_Flux'!$A$5:$A$5000,0)),"")</x:f>
      </x:c>
      <x:c r="G106" s="2" t="str">
        <x:f>IFERROR(INDEX('01_Catalogue_Flux'!$D$5:$D$5000,MATCH(E106,'01_Catalogue_Flux'!$A$5:$A$5000,0)),"")</x:f>
      </x:c>
      <x:c r="H106" s="2" t="str">
        <x:f t="shared" si="6"/>
        <x:v>À qualifier</x:v>
      </x:c>
      <x:c r="I106" s="2" t="str">
        <x:f t="shared" si="7"/>
        <x:v>Ajouter au catalogue</x:v>
      </x:c>
    </x:row>
    <x:row r="107" ht="15" customHeight="1">
      <x:c r="A107" s="2" t="str">
        <x:f>Reporting!C99</x:f>
        <x:v>MM5-4</x:v>
      </x:c>
      <x:c r="B107" s="2" t="str">
        <x:f>Reporting!D99</x:f>
        <x:v>Acquisition</x:v>
      </x:c>
      <x:c r="C107" s="2" t="str">
        <x:f>Reporting!E99</x:f>
        <x:v>Onboarding</x:v>
      </x:c>
      <x:c r="D107" s="2" t="str">
        <x:f>IF(COUNTIF('98_Mapping_Technique'!$B$2:$B$5000,INDEX('98_Mapping_Technique'!$E$2:$E$5000,ROW()-4))&gt;0,"Trouvé","Non trouvé")</x:f>
        <x:v>Non trouvé</x:v>
      </x:c>
      <x:c r="E107" s="2" t="str">
        <x:f>IFERROR(INDEX('98_Mapping_Technique'!$A$2:$A$5000,MATCH(INDEX('98_Mapping_Technique'!$E$2:$E$5000,ROW()-4),'98_Mapping_Technique'!$B$2:$B$5000,0)),"")</x:f>
      </x:c>
      <x:c r="F107" s="2" t="str">
        <x:f>IFERROR(INDEX('01_Catalogue_Flux'!$B$5:$B$5000,MATCH(E107,'01_Catalogue_Flux'!$A$5:$A$5000,0)),"")</x:f>
      </x:c>
      <x:c r="G107" s="2" t="str">
        <x:f>IFERROR(INDEX('01_Catalogue_Flux'!$D$5:$D$5000,MATCH(E107,'01_Catalogue_Flux'!$A$5:$A$5000,0)),"")</x:f>
      </x:c>
      <x:c r="H107" s="2" t="str">
        <x:f t="shared" si="6"/>
        <x:v>À qualifier</x:v>
      </x:c>
      <x:c r="I107" s="2" t="str">
        <x:f t="shared" si="7"/>
        <x:v>Ajouter au catalogue</x:v>
      </x:c>
    </x:row>
    <x:row r="108" ht="15" customHeight="1">
      <x:c r="A108" s="2" t="str">
        <x:f>Reporting!C100</x:f>
        <x:v>MM5-5</x:v>
      </x:c>
      <x:c r="B108" s="2" t="str">
        <x:f>Reporting!D100</x:f>
        <x:v>Acquisition</x:v>
      </x:c>
      <x:c r="C108" s="2" t="str">
        <x:f>Reporting!E100</x:f>
        <x:v>Onboarding</x:v>
      </x:c>
      <x:c r="D108" s="2" t="str">
        <x:f>IF(COUNTIF('98_Mapping_Technique'!$B$2:$B$5000,INDEX('98_Mapping_Technique'!$E$2:$E$5000,ROW()-4))&gt;0,"Trouvé","Non trouvé")</x:f>
        <x:v>Non trouvé</x:v>
      </x:c>
      <x:c r="E108" s="2" t="str">
        <x:f>IFERROR(INDEX('98_Mapping_Technique'!$A$2:$A$5000,MATCH(INDEX('98_Mapping_Technique'!$E$2:$E$5000,ROW()-4),'98_Mapping_Technique'!$B$2:$B$5000,0)),"")</x:f>
      </x:c>
      <x:c r="F108" s="2" t="str">
        <x:f>IFERROR(INDEX('01_Catalogue_Flux'!$B$5:$B$5000,MATCH(E108,'01_Catalogue_Flux'!$A$5:$A$5000,0)),"")</x:f>
      </x:c>
      <x:c r="G108" s="2" t="str">
        <x:f>IFERROR(INDEX('01_Catalogue_Flux'!$D$5:$D$5000,MATCH(E108,'01_Catalogue_Flux'!$A$5:$A$5000,0)),"")</x:f>
      </x:c>
      <x:c r="H108" s="2" t="str">
        <x:f t="shared" si="6"/>
        <x:v>À qualifier</x:v>
      </x:c>
      <x:c r="I108" s="2" t="str">
        <x:f t="shared" si="7"/>
        <x:v>Ajouter au catalogue</x:v>
      </x:c>
    </x:row>
  </x:sheetData>
  <x:mergeCells>
    <x:mergeCell ref="A1:I1"/>
    <x:mergeCell ref="A2:I2"/>
  </x:mergeCells>
  <x:conditionalFormatting sqref="D5:D108">
    <x:cfRule type="expression" dxfId="5" priority="1">
      <x:formula>D5="Non trouvé"</x:formula>
    </x:cfRule>
  </x:conditionalFormatting>
  <x:conditionalFormatting sqref="H5:H108">
    <x:cfRule type="expression" dxfId="4" priority="2">
      <x:formula>H5="OK"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8.88671875" defaultRowHeight="14.399999618530273"/>
  <x:cols>
    <x:col min="1" max="1" width="14" customWidth="1"/>
    <x:col min="2" max="2" width="17" customWidth="1"/>
    <x:col min="3" max="4" width="11" customWidth="1"/>
    <x:col min="5" max="6" width="12" customWidth="1"/>
    <x:col min="7" max="7" width="13" customWidth="1"/>
    <x:col min="8" max="9" width="14" customWidth="1"/>
    <x:col min="10" max="10" width="34" customWidth="1"/>
  </x:cols>
  <x:sheetData>
    <x:row r="1" ht="21">
      <x:c r="A1" s="21" t="s">
        <x:v>175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>
      <x:c r="A2" s="22" t="s">
        <x:v>176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4">
      <x:c r="A4" s="1" t="s">
        <x:v>177</x:v>
      </x:c>
      <x:c r="B4" s="1" t="s">
        <x:v>178</x:v>
      </x:c>
      <x:c r="C4" s="1" t="s">
        <x:v>179</x:v>
      </x:c>
      <x:c r="D4" s="1" t="s">
        <x:v>180</x:v>
      </x:c>
      <x:c r="E4" s="1" t="s">
        <x:v>181</x:v>
      </x:c>
      <x:c r="F4" s="1" t="s">
        <x:v>182</x:v>
      </x:c>
      <x:c r="G4" s="1" t="s">
        <x:v>183</x:v>
      </x:c>
      <x:c r="H4" s="1" t="s">
        <x:v>61</x:v>
      </x:c>
      <x:c r="I4" s="1" t="s">
        <x:v>127</x:v>
      </x:c>
      <x:c r="J4" s="1" t="s">
        <x:v>184</x:v>
      </x:c>
    </x:row>
    <x:row r="5">
      <x:c r="A5" s="5" t="s">
        <x:v>185</x:v>
      </x:c>
      <x:c r="B5" s="5" t="s">
        <x:v>186</x:v>
      </x:c>
      <x:c r="C5" s="5">
        <x:v>54</x:v>
      </x:c>
      <x:c r="D5" s="5">
        <x:v>37</x:v>
      </x:c>
      <x:c r="E5" s="5">
        <x:v>10</x:v>
      </x:c>
      <x:c r="F5" s="5">
        <x:v>7</x:v>
      </x:c>
      <x:c r="G5" s="7" t="n">
        <x:f>IFERROR(D5/C5,0)</x:f>
        <x:v>0.6851851851851852</x:v>
      </x:c>
      <x:c r="H5" s="5">
        <x:v>29</x:v>
      </x:c>
      <x:c r="I5" s="5">
        <x:v>25</x:v>
      </x:c>
      <x:c r="J5" s="5" t="s">
        <x:v>187</x:v>
      </x:c>
    </x:row>
    <x:row r="6">
      <x:c r="A6" s="5" t="s">
        <x:v>188</x:v>
      </x:c>
      <x:c r="B6" s="5" t="s">
        <x:v>186</x:v>
      </x:c>
      <x:c r="C6" s="5">
        <x:v>58</x:v>
      </x:c>
      <x:c r="D6" s="5">
        <x:v>43</x:v>
      </x:c>
      <x:c r="E6" s="5">
        <x:v>9</x:v>
      </x:c>
      <x:c r="F6" s="5">
        <x:v>6</x:v>
      </x:c>
      <x:c r="G6" s="7" t="n">
        <x:f>IFERROR(D6/C6,0)</x:f>
        <x:v>0.7413793103448276</x:v>
      </x:c>
      <x:c r="H6" s="5">
        <x:v>31</x:v>
      </x:c>
      <x:c r="I6" s="5">
        <x:v>27</x:v>
      </x:c>
      <x:c r="J6" s="5" t="s">
        <x:v>187</x:v>
      </x:c>
    </x:row>
    <x:row r="7">
      <x:c r="A7" s="5" t="s">
        <x:v>189</x:v>
      </x:c>
      <x:c r="B7" s="5" t="s">
        <x:v>186</x:v>
      </x:c>
      <x:c r="C7" s="5" t="n">
        <x:f>SUMIFS(Reporting!$J$5:$J$4992,Reporting!$A$5:$A$4992,A7,Reporting!$L$5:$L$4992,"Simulation")</x:f>
        <x:v>0</x:v>
      </x:c>
      <x:c r="D7" s="5" t="n">
        <x:f>SUMIFS(Reporting!$J$5:$J$4992,Reporting!$A$5:$A$4992,A7,Reporting!$H$5:$H$4992,"Livré",Reporting!$L$5:$L$4992,"Simulation")</x:f>
        <x:v>0</x:v>
      </x:c>
      <x:c r="E7" s="5" t="n">
        <x:f>SUMIFS(Reporting!$J$5:$J$4992,Reporting!$A$5:$A$4992,A7,Reporting!$H$5:$H$4992,"En cours",Reporting!$L$5:$L$4992,"Simulation")</x:f>
        <x:v>0</x:v>
      </x:c>
      <x:c r="F7" s="5" t="n">
        <x:f>SUMIFS(Reporting!$J$5:$J$4992,Reporting!$A$5:$A$4992,A7,Reporting!$H$5:$H$4992,"À traiter",Reporting!$L$5:$L$4992,"Simulation")</x:f>
        <x:v>0</x:v>
      </x:c>
      <x:c r="G7" s="7" t="n">
        <x:f>IFERROR(D7/C7,0)</x:f>
        <x:v>0</x:v>
      </x:c>
      <x:c r="H7" s="5" t="n">
        <x:f>SUMIFS(Reporting!$J$5:$J$4992,Reporting!$A$5:$A$4992,A7,Reporting!$D$5:$D$4992,"Acquisition",Reporting!$L$5:$L$4992,"Simulation")</x:f>
        <x:v>0</x:v>
      </x:c>
      <x:c r="I7" s="5" t="n">
        <x:f>SUMIFS(Reporting!$J$5:$J$4992,Reporting!$A$5:$A$4992,A7,Reporting!$D$5:$D$4992,"Issuing",Reporting!$L$5:$L$4992,"Simulation")</x:f>
        <x:v>0</x:v>
      </x:c>
      <x:c r="J7" s="5" t="s">
        <x:v>187</x:v>
      </x:c>
    </x:row>
    <x:row r="8">
      <x:c r="A8" s="3" t="s">
        <x:v>190</x:v>
      </x:c>
      <x:c r="B8" s="3" t="s">
        <x:v>191</x:v>
      </x:c>
      <x:c r="C8" s="3" t="n">
        <x:f>SUMIFS(Reporting!$J$5:$J$4992,Reporting!$A$5:$A$4992,A8,Reporting!$L$5:$L$4992,"Réel")</x:f>
        <x:v>0</x:v>
      </x:c>
      <x:c r="D8" s="3" t="n">
        <x:f>SUMIFS(Reporting!$J$5:$J$4992,Reporting!$A$5:$A$4992,A8,Reporting!$H$5:$H$4992,"Livré",Reporting!$L$5:$L$4992,"Réel")</x:f>
        <x:v>0</x:v>
      </x:c>
      <x:c r="E8" s="3" t="n">
        <x:f>SUMIFS(Reporting!$J$5:$J$4992,Reporting!$A$5:$A$4992,A8,Reporting!$H$5:$H$4992,"En cours",Reporting!$L$5:$L$4992,"Réel")</x:f>
        <x:v>0</x:v>
      </x:c>
      <x:c r="F8" s="3" t="n">
        <x:f>SUMIFS(Reporting!$J$5:$J$4992,Reporting!$A$5:$A$4992,A8,Reporting!$H$5:$H$4992,"À traiter",Reporting!$L$5:$L$4992,"Réel")</x:f>
        <x:v>0</x:v>
      </x:c>
      <x:c r="G8" s="8" t="n">
        <x:f>IFERROR(D8/C8,0)</x:f>
        <x:v>0</x:v>
      </x:c>
      <x:c r="H8" s="3" t="n">
        <x:f>SUMIFS(Reporting!$J$5:$J$4992,Reporting!$A$5:$A$4992,A8,Reporting!$D$5:$D$4992,"Acquisition",Reporting!$L$5:$L$4992,"Réel")</x:f>
        <x:v>0</x:v>
      </x:c>
      <x:c r="I8" s="3" t="n">
        <x:f>SUMIFS(Reporting!$J$5:$J$4992,Reporting!$A$5:$A$4992,A8,Reporting!$D$5:$D$4992,"Issuing",Reporting!$L$5:$L$4992,"Réel")</x:f>
        <x:v>0</x:v>
      </x:c>
      <x:c r="J8" s="3" t="s">
        <x:v>192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73b2c29a83c74f7d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10" defaultColWidth="8.88671875" defaultRowHeight="14.399999618530273"/>
  <x:cols>
    <x:col min="1" max="1" width="38" customWidth="1"/>
    <x:col min="2" max="2" width="15" customWidth="1"/>
    <x:col min="3" max="3" width="13" customWidth="1"/>
    <x:col min="4" max="4" width="16" customWidth="1"/>
    <x:col min="5" max="5" width="20" customWidth="1"/>
    <x:col min="6" max="6" width="46" customWidth="1"/>
  </x:cols>
  <x:sheetData>
    <x:row r="1" ht="21">
      <x:c r="A1" s="21" t="s">
        <x:v>193</x:v>
      </x:c>
      <x:c r="B1" s="21"/>
      <x:c r="C1" s="21"/>
      <x:c r="D1" s="21"/>
      <x:c r="E1" s="21"/>
      <x:c r="F1" s="21"/>
    </x:row>
    <x:row r="2">
      <x:c r="A2" s="22" t="s">
        <x:v>194</x:v>
      </x:c>
      <x:c r="B2" s="22"/>
      <x:c r="C2" s="22"/>
      <x:c r="D2" s="22"/>
      <x:c r="E2" s="22"/>
      <x:c r="F2" s="22"/>
    </x:row>
    <x:row r="4">
      <x:c r="A4" s="1" t="s">
        <x:v>9</x:v>
      </x:c>
      <x:c r="B4" s="1" t="s">
        <x:v>195</x:v>
      </x:c>
      <x:c r="C4" s="1" t="s">
        <x:v>196</x:v>
      </x:c>
      <x:c r="D4" s="1" t="s">
        <x:v>197</x:v>
      </x:c>
      <x:c r="E4" s="1" t="s">
        <x:v>198</x:v>
      </x:c>
      <x:c r="F4" s="1" t="s">
        <x:v>3</x:v>
      </x:c>
    </x:row>
    <x:row r="5">
      <x:c r="A5" s="2" t="s">
        <x:v>199</x:v>
      </x:c>
      <x:c r="B5" s="2" t="n">
        <x:f>COUNTA('01_Catalogue_Flux'!$A$5:$A$5000)</x:f>
        <x:v>36</x:v>
      </x:c>
      <x:c r="C5" s="2" t="s">
        <x:v>200</x:v>
      </x:c>
      <x:c r="D5" s="2" t="str">
        <x:f>IF(B5&gt;0,"OK","KO")</x:f>
        <x:v>OK</x:v>
      </x:c>
      <x:c r="E5" s="2" t="s">
        <x:v>201</x:v>
      </x:c>
      <x:c r="F5" s="2" t="s">
        <x:v>202</x:v>
      </x:c>
    </x:row>
    <x:row r="6">
      <x:c r="A6" s="2" t="s">
        <x:v>203</x:v>
      </x:c>
      <x:c r="B6" s="2" t="n">
        <x:f>COUNTIF(Reporting!$L$5:$L$4992,"Réel")</x:f>
        <x:v>56</x:v>
      </x:c>
      <x:c r="C6" s="2" t="s">
        <x:v>200</x:v>
      </x:c>
      <x:c r="D6" s="2" t="str">
        <x:f>IF(B6&gt;0,"OK","KO")</x:f>
        <x:v>OK</x:v>
      </x:c>
      <x:c r="E6" s="2" t="s">
        <x:v>201</x:v>
      </x:c>
      <x:c r="F6" s="2" t="s">
        <x:v>202</x:v>
      </x:c>
    </x:row>
    <x:row r="7">
      <x:c r="A7" s="2" t="s">
        <x:v>204</x:v>
      </x:c>
      <x:c r="B7" s="2" t="n">
        <x:f>COUNTIF('03_Rapprochement'!$D$5:$D$5000,"Non trouvé")</x:f>
        <x:v>81</x:v>
      </x:c>
      <x:c r="C7" s="2" t="s">
        <x:v>205</x:v>
      </x:c>
      <x:c r="D7" s="2" t="str">
        <x:f>IF(B7=0,"OK","À corriger")</x:f>
        <x:v>À corriger</x:v>
      </x:c>
      <x:c r="E7" s="2" t="s">
        <x:v>206</x:v>
      </x:c>
      <x:c r="F7" s="2" t="s">
        <x:v>207</x:v>
      </x:c>
    </x:row>
    <x:row r="8">
      <x:c r="A8" s="2" t="s">
        <x:v>208</x:v>
      </x:c>
      <x:c r="B8" s="2" t="n">
        <x:f>COUNTBLANK(Reporting!$D$5:$D$100)</x:f>
        <x:v>56</x:v>
      </x:c>
      <x:c r="C8" s="2" t="s">
        <x:v>205</x:v>
      </x:c>
      <x:c r="D8" s="2" t="str">
        <x:f>IF(B8=0,"OK","À corriger")</x:f>
        <x:v>À corriger</x:v>
      </x:c>
      <x:c r="E8" s="2" t="s">
        <x:v>18</x:v>
      </x:c>
      <x:c r="F8" s="2" t="s">
        <x:v>209</x:v>
      </x:c>
    </x:row>
    <x:row r="9">
      <x:c r="A9" s="2" t="s">
        <x:v>210</x:v>
      </x:c>
      <x:c r="B9" s="2" t="n">
        <x:f>COUNTBLANK(Reporting!$E$5:$E$100)</x:f>
        <x:v>40</x:v>
      </x:c>
      <x:c r="C9" s="2" t="s">
        <x:v>205</x:v>
      </x:c>
      <x:c r="D9" s="2" t="str">
        <x:f>IF(B9=0,"OK","À corriger")</x:f>
        <x:v>À corriger</x:v>
      </x:c>
      <x:c r="E9" s="2" t="s">
        <x:v>211</x:v>
      </x:c>
      <x:c r="F9" s="2" t="s">
        <x:v>212</x:v>
      </x:c>
    </x:row>
    <x:row r="10">
      <x:c r="A10" s="2" t="s">
        <x:v>213</x:v>
      </x:c>
      <x:c r="B10" s="2" t="n">
        <x:f>COUNTBLANK('01_Catalogue_Flux'!$H$5:$H$40)</x:f>
        <x:v>0</x:v>
      </x:c>
      <x:c r="C10" s="2" t="s">
        <x:v>205</x:v>
      </x:c>
      <x:c r="D10" s="2" t="str">
        <x:f>IF(B10=0,"OK","À corriger")</x:f>
        <x:v>OK</x:v>
      </x:c>
      <x:c r="E10" s="2" t="s">
        <x:v>214</x:v>
      </x:c>
      <x:c r="F10" s="2" t="s">
        <x:v>215</x:v>
      </x:c>
    </x:row>
  </x:sheetData>
  <x:mergeCells>
    <x:mergeCell ref="A1:F1"/>
    <x:mergeCell ref="A2:F2"/>
  </x:mergeCells>
  <x:conditionalFormatting sqref="D5:D10">
    <x:cfRule type="expression" dxfId="3" priority="1">
      <x:formula>D5="OK"</x:formula>
    </x:cfRule>
    <x:cfRule type="expression" dxfId="2" priority="2">
      <x:formula>D5&lt;&gt;"OK"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10" defaultColWidth="8.88671875" defaultRowHeight="14.399999618530273"/>
  <x:cols>
    <x:col min="1" max="1" width="23" customWidth="1"/>
    <x:col min="2" max="5" width="13" customWidth="1"/>
    <x:col min="6" max="6" width="14" customWidth="1"/>
    <x:col min="7" max="7" width="4" customWidth="1"/>
    <x:col min="8" max="12" width="14" customWidth="1"/>
  </x:cols>
  <x:sheetData>
    <x:row r="1" ht="21">
      <x:c r="A1" s="21" t="s">
        <x:v>216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</x:row>
    <x:row r="2">
      <x:c r="A2" s="22" t="s">
        <x:v>217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4">
      <x:c r="A4" s="1" t="s">
        <x:v>46</x:v>
      </x:c>
      <x:c r="B4" s="1" t="s">
        <x:v>179</x:v>
      </x:c>
      <x:c r="C4" s="1" t="s">
        <x:v>180</x:v>
      </x:c>
      <x:c r="D4" s="1" t="s">
        <x:v>218</x:v>
      </x:c>
      <x:c r="E4" s="1" t="s">
        <x:v>219</x:v>
      </x:c>
      <x:c r="F4" s="1" t="s">
        <x:v>220</x:v>
      </x:c>
    </x:row>
    <x:row r="5">
      <x:c r="A5" s="2" t="s">
        <x:v>61</x:v>
      </x:c>
      <x:c r="B5" s="2" t="n">
        <x:f>SUMIFS(Reporting!$J$5:$J$4992,Reporting!$D$5:$D$4992,A5,Reporting!$L$5:$L$4992,"Réel")</x:f>
        <x:v>22</x:v>
      </x:c>
      <x:c r="C5" s="2" t="n">
        <x:f>SUMIFS(Reporting!$J$5:$J$4992,Reporting!$D$5:$D$4992,A5,Reporting!$H$5:$H$4992,"Livré",Reporting!$L$5:$L$4992,"Réel")</x:f>
        <x:v>18</x:v>
      </x:c>
      <x:c r="D5" s="2" t="n">
        <x:f>SUMIFS(Reporting!$J$5:$J$4992,Reporting!$D$5:$D$4992,A5,Reporting!$H$5:$H$4992,"En cours",Reporting!$L$5:$L$4992,"Réel")</x:f>
        <x:v>2</x:v>
      </x:c>
      <x:c r="E5" s="2" t="n">
        <x:f>SUMIFS(Reporting!$J$5:$J$4992,Reporting!$D$5:$D$4992,A5,Reporting!$H$5:$H$4992,"À traiter",Reporting!$L$5:$L$4992,"Réel")</x:f>
        <x:v>0</x:v>
      </x:c>
      <x:c r="F5" s="9" t="n">
        <x:f>IFERROR(C5/B5,0)</x:f>
        <x:v>0.8181818181818182</x:v>
      </x:c>
    </x:row>
    <x:row r="6">
      <x:c r="A6" s="2" t="s">
        <x:v>127</x:v>
      </x:c>
      <x:c r="B6" s="2" t="n">
        <x:f>SUMIFS(Reporting!$J$5:$J$4992,Reporting!$D$5:$D$4992,A6,Reporting!$L$5:$L$4992,"Réel")</x:f>
        <x:v>34</x:v>
      </x:c>
      <x:c r="C6" s="2" t="n">
        <x:f>SUMIFS(Reporting!$J$5:$J$4992,Reporting!$D$5:$D$4992,A6,Reporting!$H$5:$H$4992,"Livré",Reporting!$L$5:$L$4992,"Réel")</x:f>
        <x:v>26</x:v>
      </x:c>
      <x:c r="D6" s="2" t="n">
        <x:f>SUMIFS(Reporting!$J$5:$J$4992,Reporting!$D$5:$D$4992,A6,Reporting!$H$5:$H$4992,"En cours",Reporting!$L$5:$L$4992,"Réel")</x:f>
        <x:v>0</x:v>
      </x:c>
      <x:c r="E6" s="2" t="n">
        <x:f>SUMIFS(Reporting!$J$5:$J$4992,Reporting!$D$5:$D$4992,A6,Reporting!$H$5:$H$4992,"À traiter",Reporting!$L$5:$L$4992,"Réel")</x:f>
        <x:v>2</x:v>
      </x:c>
      <x:c r="F6" s="9" t="n">
        <x:f>IFERROR(C6/B6,0)</x:f>
        <x:v>0.7647058823529411</x:v>
      </x:c>
    </x:row>
    <x:row r="9">
      <x:c r="A9" s="1" t="s">
        <x:v>221</x:v>
      </x:c>
      <x:c r="B9" s="1" t="s">
        <x:v>179</x:v>
      </x:c>
      <x:c r="C9" s="1" t="s">
        <x:v>180</x:v>
      </x:c>
      <x:c r="D9" s="1" t="s">
        <x:v>218</x:v>
      </x:c>
      <x:c r="E9" s="1" t="s">
        <x:v>219</x:v>
      </x:c>
      <x:c r="F9" s="1" t="s">
        <x:v>220</x:v>
      </x:c>
    </x:row>
    <x:row r="10">
      <x:c r="A10" s="2" t="s">
        <x:v>222</x:v>
      </x:c>
      <x:c r="B10" s="2" t="n">
        <x:f>SUMIFS(Reporting!$J$5:$J$4992,Reporting!$G$5:$G$4992,A10,Reporting!$L$5:$L$4992,"Réel")</x:f>
        <x:v>40</x:v>
      </x:c>
      <x:c r="C10" s="2" t="n">
        <x:f>SUMIFS(Reporting!$J$5:$J$4992,Reporting!$G$5:$G$4992,A10,Reporting!$H$5:$H$4992,"Livré",Reporting!$L$5:$L$4992,"Réel")</x:f>
        <x:v>36</x:v>
      </x:c>
      <x:c r="D10" s="2" t="n">
        <x:f>SUMIFS(Reporting!$J$5:$J$4992,Reporting!$G$5:$G$4992,A10,Reporting!$H$5:$H$4992,"En cours",Reporting!$L$5:$L$4992,"Réel")</x:f>
        <x:v>2</x:v>
      </x:c>
      <x:c r="E10" s="2" t="n">
        <x:f>SUMIFS(Reporting!$J$5:$J$4992,Reporting!$G$5:$G$4992,A10,Reporting!$H$5:$H$4992,"À traiter",Reporting!$L$5:$L$4992,"Réel")</x:f>
        <x:v>2</x:v>
      </x:c>
      <x:c r="F10" s="9" t="n">
        <x:f>IFERROR(C10/B10,0)</x:f>
        <x:v>0.9</x:v>
      </x:c>
    </x:row>
    <x:row r="11">
      <x:c r="A11" s="2" t="s">
        <x:v>223</x:v>
      </x:c>
      <x:c r="B11" s="2" t="n">
        <x:f>SUMIFS(Reporting!$J$5:$J$4992,Reporting!$G$5:$G$4992,A11,Reporting!$L$5:$L$4992,"Réel")</x:f>
        <x:v>8</x:v>
      </x:c>
      <x:c r="C11" s="2" t="n">
        <x:f>SUMIFS(Reporting!$J$5:$J$4992,Reporting!$G$5:$G$4992,A11,Reporting!$H$5:$H$4992,"Livré",Reporting!$L$5:$L$4992,"Réel")</x:f>
        <x:v>8</x:v>
      </x:c>
      <x:c r="D11" s="2" t="n">
        <x:f>SUMIFS(Reporting!$J$5:$J$4992,Reporting!$G$5:$G$4992,A11,Reporting!$H$5:$H$4992,"En cours",Reporting!$L$5:$L$4992,"Réel")</x:f>
        <x:v>0</x:v>
      </x:c>
      <x:c r="E11" s="2" t="n">
        <x:f>SUMIFS(Reporting!$J$5:$J$4992,Reporting!$G$5:$G$4992,A11,Reporting!$H$5:$H$4992,"À traiter",Reporting!$L$5:$L$4992,"Réel")</x:f>
        <x:v>0</x:v>
      </x:c>
      <x:c r="F11" s="9" t="n">
        <x:f>IFERROR(C11/B11,0)</x:f>
        <x:v>1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5220b5d403d948e7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10" defaultColWidth="8.88671875" defaultRowHeight="14.399999618530273"/>
  <x:cols>
    <x:col min="1" max="1" width="21" customWidth="1"/>
    <x:col min="2" max="2" width="15" customWidth="1"/>
    <x:col min="3" max="4" width="14" customWidth="1"/>
    <x:col min="5" max="5" width="20" customWidth="1"/>
    <x:col min="6" max="7" width="12" customWidth="1"/>
    <x:col min="8" max="8" width="14" customWidth="1"/>
    <x:col min="9" max="9" width="4" customWidth="1"/>
    <x:col min="10" max="14" width="14" customWidth="1"/>
  </x:cols>
  <x:sheetData>
    <x:row r="1" ht="21">
      <x:c r="A1" s="21" t="s">
        <x:v>224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</x:row>
    <x:row r="2">
      <x:c r="A2" s="23" t="s">
        <x:v>225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</x:row>
    <x:row r="3">
      <x:c r="A3" s="11" t="s">
        <x:v>226</x:v>
      </x:c>
      <x:c r="B3" s="11" t="s">
        <x:v>227</x:v>
      </x:c>
    </x:row>
    <x:row r="5">
      <x:c r="A5" s="1" t="s">
        <x:v>228</x:v>
      </x:c>
      <x:c r="B5" s="1" t="s">
        <x:v>177</x:v>
      </x:c>
      <x:c r="C5" s="1" t="s">
        <x:v>229</x:v>
      </x:c>
      <x:c r="D5" s="1" t="s">
        <x:v>230</x:v>
      </x:c>
      <x:c r="E5" s="1" t="s">
        <x:v>231</x:v>
      </x:c>
      <x:c r="F5" s="1" t="s">
        <x:v>232</x:v>
      </x:c>
      <x:c r="G5" s="1" t="s">
        <x:v>233</x:v>
      </x:c>
      <x:c r="H5" s="1" t="s">
        <x:v>218</x:v>
      </x:c>
    </x:row>
    <x:row r="6">
      <x:c r="A6" s="5" t="s">
        <x:v>234</x:v>
      </x:c>
      <x:c r="B6" s="5" t="s">
        <x:v>235</x:v>
      </x:c>
      <x:c r="C6" s="5" t="n">
        <x:f>SUMIFS(Reporting!$J$5:$J$4992,Reporting!$O$5:$O$4992,$B$3,Reporting!$P$5:$P$4992,A6)</x:f>
        <x:v>0</x:v>
      </x:c>
      <x:c r="D6" s="5" t="n">
        <x:f>SUMIFS(Reporting!$J$5:$J$4992,Reporting!$O$5:$O$4992,$B$3,Reporting!$P$5:$P$4992,A6,Reporting!$Q$5:$Q$4992,"Prêt")</x:f>
        <x:v>0</x:v>
      </x:c>
      <x:c r="E6" s="5" t="n">
        <x:f>SUMIFS(Reporting!$J$5:$J$4992,Reporting!$O$5:$O$4992,$B$3,Reporting!$P$5:$P$4992,A6,Reporting!$R$5:$R$4992,"&lt;&gt;OK")</x:f>
        <x:v>0</x:v>
      </x:c>
      <x:c r="F6" s="5" t="n">
        <x:f>SUMIFS(Reporting!$J$5:$J$4992,Reporting!$O$5:$O$4992,$B$3,Reporting!$P$5:$P$4992,A6,Reporting!$R$5:$R$4992,"OK")</x:f>
        <x:v>0</x:v>
      </x:c>
      <x:c r="G6" s="5" t="n">
        <x:f>SUMIFS(Reporting!$J$5:$J$4992,Reporting!$O$5:$O$4992,$B$3,Reporting!$P$5:$P$4992,A6,Reporting!$R$5:$R$4992,"KO")</x:f>
        <x:v>0</x:v>
      </x:c>
      <x:c r="H6" s="5" t="n">
        <x:f>SUMIFS(Reporting!$J$5:$J$4992,Reporting!$O$5:$O$4992,$B$3,Reporting!$P$5:$P$4992,A6,Reporting!$R$5:$R$4992,"En cours")</x:f>
        <x:v>0</x:v>
      </x:c>
    </x:row>
    <x:row r="7">
      <x:c r="A7" s="3" t="s">
        <x:v>236</x:v>
      </x:c>
      <x:c r="B7" s="3" t="s">
        <x:v>237</x:v>
      </x:c>
      <x:c r="C7" s="3" t="n">
        <x:f>SUMIFS(Reporting!$J$5:$J$4992,Reporting!$O$5:$O$4992,$B$3,Reporting!$P$5:$P$4992,A7)</x:f>
        <x:v>56</x:v>
      </x:c>
      <x:c r="D7" s="3" t="n">
        <x:f>SUMIFS(Reporting!$J$5:$J$4992,Reporting!$O$5:$O$4992,$B$3,Reporting!$P$5:$P$4992,A7,Reporting!$Q$5:$Q$4992,"Prêt")</x:f>
        <x:v>44</x:v>
      </x:c>
      <x:c r="E7" s="3" t="n">
        <x:f>SUMIFS(Reporting!$J$5:$J$4992,Reporting!$O$5:$O$4992,$B$3,Reporting!$P$5:$P$4992,A7,Reporting!$R$5:$R$4992,"&lt;&gt;OK")</x:f>
        <x:v>4</x:v>
      </x:c>
      <x:c r="F7" s="3" t="n">
        <x:f>SUMIFS(Reporting!$J$5:$J$4992,Reporting!$O$5:$O$4992,$B$3,Reporting!$P$5:$P$4992,A7,Reporting!$R$5:$R$4992,"OK")</x:f>
        <x:v>52</x:v>
      </x:c>
      <x:c r="G7" s="3" t="n">
        <x:f>SUMIFS(Reporting!$J$5:$J$4992,Reporting!$O$5:$O$4992,$B$3,Reporting!$P$5:$P$4992,A7,Reporting!$R$5:$R$4992,"KO")</x:f>
        <x:v>2</x:v>
      </x:c>
      <x:c r="H7" s="3" t="n">
        <x:f>SUMIFS(Reporting!$J$5:$J$4992,Reporting!$O$5:$O$4992,$B$3,Reporting!$P$5:$P$4992,A7,Reporting!$R$5:$R$4992,"En cours")</x:f>
        <x:v>2</x:v>
      </x:c>
    </x:row>
    <x:row r="10" ht="28.799999237060547">
      <x:c r="A10" s="1" t="s">
        <x:v>238</x:v>
      </x:c>
      <x:c r="B10" s="1" t="s">
        <x:v>229</x:v>
      </x:c>
      <x:c r="C10" s="1" t="s">
        <x:v>230</x:v>
      </x:c>
      <x:c r="D10" s="1" t="s">
        <x:v>231</x:v>
      </x:c>
      <x:c r="E10" s="1" t="s">
        <x:v>232</x:v>
      </x:c>
      <x:c r="F10" s="1" t="s">
        <x:v>233</x:v>
      </x:c>
      <x:c r="G10" s="1" t="s">
        <x:v>218</x:v>
      </x:c>
      <x:c r="H10" s="1" t="s">
        <x:v>239</x:v>
      </x:c>
    </x:row>
    <x:row r="11">
      <x:c r="A11" s="2" t="s">
        <x:v>61</x:v>
      </x:c>
      <x:c r="B11" s="2" t="n">
        <x:f>SUMIFS(Reporting!$J$5:$J$4992,Reporting!$O$5:$O$4992,$B$3,Reporting!$P$5:$P$4992,"Semaine 2",Reporting!$D$5:$D$4992,A11)</x:f>
        <x:v>22</x:v>
      </x:c>
      <x:c r="C11" s="2" t="n">
        <x:f>SUMIFS(Reporting!$J$5:$J$4992,Reporting!$O$5:$O$4992,$B$3,Reporting!$P$5:$P$4992,"Semaine 2",Reporting!$D$5:$D$4992,A11,Reporting!$Q$5:$Q$4992,"Prêt")</x:f>
        <x:v>18</x:v>
      </x:c>
      <x:c r="D11" s="2" t="n">
        <x:f>SUMIFS(Reporting!$J$5:$J$4992,Reporting!$O$5:$O$4992,$B$3,Reporting!$P$5:$P$4992,"Semaine 2",Reporting!$D$5:$D$4992,A11,Reporting!$R$5:$R$4992,"&lt;&gt;OK")</x:f>
        <x:v>2</x:v>
      </x:c>
      <x:c r="E11" s="2" t="n">
        <x:f>SUMIFS(Reporting!$J$5:$J$4992,Reporting!$O$5:$O$4992,$B$3,Reporting!$P$5:$P$4992,"Semaine 2",Reporting!$D$5:$D$4992,A11,Reporting!$R$5:$R$4992,"OK")</x:f>
        <x:v>20</x:v>
      </x:c>
      <x:c r="F11" s="2" t="n">
        <x:f>SUMIFS(Reporting!$J$5:$J$4992,Reporting!$O$5:$O$4992,$B$3,Reporting!$P$5:$P$4992,"Semaine 2",Reporting!$D$5:$D$4992,A11,Reporting!$R$5:$R$4992,"KO")</x:f>
        <x:v>0</x:v>
      </x:c>
      <x:c r="G11" s="2" t="n">
        <x:f>SUMIFS(Reporting!$J$5:$J$4992,Reporting!$O$5:$O$4992,$B$3,Reporting!$P$5:$P$4992,"Semaine 2",Reporting!$D$5:$D$4992,A11,Reporting!$R$5:$R$4992,"En cours")</x:f>
        <x:v>2</x:v>
      </x:c>
      <x:c r="H11" s="9" t="n">
        <x:f>IFERROR(C11/B11,0)</x:f>
        <x:v>0.8181818181818182</x:v>
      </x:c>
    </x:row>
    <x:row r="12">
      <x:c r="A12" s="2" t="s">
        <x:v>127</x:v>
      </x:c>
      <x:c r="B12" s="2" t="n">
        <x:f>SUMIFS(Reporting!$J$5:$J$4992,Reporting!$O$5:$O$4992,$B$3,Reporting!$P$5:$P$4992,"Semaine 2",Reporting!$D$5:$D$4992,A12)</x:f>
        <x:v>34</x:v>
      </x:c>
      <x:c r="C12" s="2" t="n">
        <x:f>SUMIFS(Reporting!$J$5:$J$4992,Reporting!$O$5:$O$4992,$B$3,Reporting!$P$5:$P$4992,"Semaine 2",Reporting!$D$5:$D$4992,A12,Reporting!$Q$5:$Q$4992,"Prêt")</x:f>
        <x:v>26</x:v>
      </x:c>
      <x:c r="D12" s="2" t="n">
        <x:f>SUMIFS(Reporting!$J$5:$J$4992,Reporting!$O$5:$O$4992,$B$3,Reporting!$P$5:$P$4992,"Semaine 2",Reporting!$D$5:$D$4992,A12,Reporting!$R$5:$R$4992,"&lt;&gt;OK")</x:f>
        <x:v>2</x:v>
      </x:c>
      <x:c r="E12" s="2" t="n">
        <x:f>SUMIFS(Reporting!$J$5:$J$4992,Reporting!$O$5:$O$4992,$B$3,Reporting!$P$5:$P$4992,"Semaine 2",Reporting!$D$5:$D$4992,A12,Reporting!$R$5:$R$4992,"OK")</x:f>
        <x:v>32</x:v>
      </x:c>
      <x:c r="F12" s="2" t="n">
        <x:f>SUMIFS(Reporting!$J$5:$J$4992,Reporting!$O$5:$O$4992,$B$3,Reporting!$P$5:$P$4992,"Semaine 2",Reporting!$D$5:$D$4992,A12,Reporting!$R$5:$R$4992,"KO")</x:f>
        <x:v>2</x:v>
      </x:c>
      <x:c r="G12" s="2" t="n">
        <x:f>SUMIFS(Reporting!$J$5:$J$4992,Reporting!$O$5:$O$4992,$B$3,Reporting!$P$5:$P$4992,"Semaine 2",Reporting!$D$5:$D$4992,A12,Reporting!$R$5:$R$4992,"En cours")</x:f>
        <x:v>0</x:v>
      </x:c>
      <x:c r="H12" s="9" t="n">
        <x:f>IFERROR(C12/B12,0)</x:f>
        <x:v>0.7647058823529411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ad97f8aabd8e4af2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10" defaultColWidth="8.88671875" defaultRowHeight="14.399999618530273"/>
  <x:cols>
    <x:col min="1" max="1" width="17" customWidth="1"/>
    <x:col min="2" max="2" width="26" customWidth="1"/>
    <x:col min="3" max="4" width="12" customWidth="1"/>
    <x:col min="5" max="5" width="16" customWidth="1"/>
    <x:col min="6" max="7" width="12" customWidth="1"/>
    <x:col min="8" max="8" width="16" customWidth="1"/>
    <x:col min="9" max="10" width="11" customWidth="1"/>
    <x:col min="11" max="11" width="14" customWidth="1"/>
  </x:cols>
  <x:sheetData>
    <x:row r="1" ht="21">
      <x:c r="A1" s="21" t="s">
        <x:v>240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</x:row>
    <x:row r="2">
      <x:c r="A2" s="23" t="s">
        <x:v>225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>
      <x:c r="A3" s="10" t="s">
        <x:v>226</x:v>
      </x:c>
      <x:c r="B3" s="10" t="s">
        <x:v>227</x:v>
      </x:c>
    </x:row>
    <x:row r="5">
      <x:c r="A5" s="1" t="s">
        <x:v>46</x:v>
      </x:c>
      <x:c r="B5" s="1" t="s">
        <x:v>241</x:v>
      </x:c>
      <x:c r="C5" s="1" t="s">
        <x:v>242</x:v>
      </x:c>
      <x:c r="D5" s="1" t="s">
        <x:v>243</x:v>
      </x:c>
      <x:c r="E5" s="1" t="s">
        <x:v>244</x:v>
      </x:c>
      <x:c r="F5" s="1" t="s">
        <x:v>245</x:v>
      </x:c>
      <x:c r="G5" s="1" t="s">
        <x:v>246</x:v>
      </x:c>
      <x:c r="H5" s="1" t="s">
        <x:v>247</x:v>
      </x:c>
      <x:c r="I5" s="1" t="s">
        <x:v>248</x:v>
      </x:c>
      <x:c r="J5" s="1" t="s">
        <x:v>249</x:v>
      </x:c>
      <x:c r="K5" s="1" t="s">
        <x:v>250</x:v>
      </x:c>
    </x:row>
    <x:row r="6">
      <x:c r="A6" s="2" t="s">
        <x:v>61</x:v>
      </x:c>
      <x:c r="B6" s="2" t="s">
        <x:v>91</x:v>
      </x:c>
      <x:c r="C6" s="5" t="n">
        <x:f>SUMIFS(Reporting!$J$5:$J$4992,Reporting!$O$5:$O$4992,$B$3,Reporting!$P$5:$P$4992,"Semaine 1",Reporting!$D$5:$D$4992,A6,Reporting!$E$5:$E$4992,B6)</x:f>
        <x:v>0</x:v>
      </x:c>
      <x:c r="D6" s="5" t="n">
        <x:f>SUMIFS(Reporting!$J$5:$J$4992,Reporting!$O$5:$O$4992,$B$3,Reporting!$P$5:$P$4992,"Semaine 1",Reporting!$D$5:$D$4992,A6,Reporting!$E$5:$E$4992,B6,Reporting!$Q$5:$Q$4992,"Prêt")</x:f>
        <x:v>0</x:v>
      </x:c>
      <x:c r="E6" s="5" t="n">
        <x:f>SUMIFS(Reporting!$J$5:$J$4992,Reporting!$O$5:$O$4992,$B$3,Reporting!$P$5:$P$4992,"Semaine 1",Reporting!$D$5:$D$4992,A6,Reporting!$E$5:$E$4992,B6,Reporting!$R$5:$R$4992,"&lt;&gt;OK")</x:f>
        <x:v>0</x:v>
      </x:c>
      <x:c r="F6" s="3" t="n">
        <x:f>SUMIFS(Reporting!$J$5:$J$4992,Reporting!$O$5:$O$4992,$B$3,Reporting!$P$5:$P$4992,"Semaine 2",Reporting!$D$5:$D$4992,A6,Reporting!$E$5:$E$4992,B6)</x:f>
        <x:v>16</x:v>
      </x:c>
      <x:c r="G6" s="3" t="n">
        <x:f>SUMIFS(Reporting!$J$5:$J$4992,Reporting!$O$5:$O$4992,$B$3,Reporting!$P$5:$P$4992,"Semaine 2",Reporting!$D$5:$D$4992,A6,Reporting!$E$5:$E$4992,B6,Reporting!$Q$5:$Q$4992,"Prêt")</x:f>
        <x:v>12</x:v>
      </x:c>
      <x:c r="H6" s="3" t="n">
        <x:f>SUMIFS(Reporting!$J$5:$J$4992,Reporting!$O$5:$O$4992,$B$3,Reporting!$P$5:$P$4992,"Semaine 2",Reporting!$D$5:$D$4992,A6,Reporting!$E$5:$E$4992,B6,Reporting!$R$5:$R$4992,"&lt;&gt;OK")</x:f>
        <x:v>2</x:v>
      </x:c>
      <x:c r="I6" s="3" t="n">
        <x:f>SUMIFS(Reporting!$J$5:$J$4992,Reporting!$O$5:$O$4992,$B$3,Reporting!$P$5:$P$4992,"Semaine 2",Reporting!$D$5:$D$4992,A6,Reporting!$E$5:$E$4992,B6,Reporting!$R$5:$R$4992,"OK")</x:f>
        <x:v>14</x:v>
      </x:c>
      <x:c r="J6" s="3" t="n">
        <x:f>SUMIFS(Reporting!$J$5:$J$4992,Reporting!$O$5:$O$4992,$B$3,Reporting!$P$5:$P$4992,"Semaine 2",Reporting!$D$5:$D$4992,A6,Reporting!$E$5:$E$4992,B6,Reporting!$R$5:$R$4992,"KO")</x:f>
        <x:v>0</x:v>
      </x:c>
      <x:c r="K6" s="3" t="n">
        <x:f>SUMIFS(Reporting!$J$5:$J$4992,Reporting!$O$5:$O$4992,$B$3,Reporting!$P$5:$P$4992,"Semaine 2",Reporting!$D$5:$D$4992,A6,Reporting!$E$5:$E$4992,B6,Reporting!$R$5:$R$4992,"En cours")</x:f>
        <x:v>2</x:v>
      </x:c>
    </x:row>
    <x:row r="7">
      <x:c r="A7" s="2" t="s">
        <x:v>61</x:v>
      </x:c>
      <x:c r="B7" s="2" t="s">
        <x:v>63</x:v>
      </x:c>
      <x:c r="C7" s="5" t="n">
        <x:f>SUMIFS(Reporting!$J$5:$J$4992,Reporting!$O$5:$O$4992,$B$3,Reporting!$P$5:$P$4992,"Semaine 1",Reporting!$D$5:$D$4992,A7,Reporting!$E$5:$E$4992,B7)</x:f>
        <x:v>0</x:v>
      </x:c>
      <x:c r="D7" s="5" t="n">
        <x:f>SUMIFS(Reporting!$J$5:$J$4992,Reporting!$O$5:$O$4992,$B$3,Reporting!$P$5:$P$4992,"Semaine 1",Reporting!$D$5:$D$4992,A7,Reporting!$E$5:$E$4992,B7,Reporting!$Q$5:$Q$4992,"Prêt")</x:f>
        <x:v>0</x:v>
      </x:c>
      <x:c r="E7" s="5" t="n">
        <x:f>SUMIFS(Reporting!$J$5:$J$4992,Reporting!$O$5:$O$4992,$B$3,Reporting!$P$5:$P$4992,"Semaine 1",Reporting!$D$5:$D$4992,A7,Reporting!$E$5:$E$4992,B7,Reporting!$R$5:$R$4992,"&lt;&gt;OK")</x:f>
        <x:v>0</x:v>
      </x:c>
      <x:c r="F7" s="3" t="n">
        <x:f>SUMIFS(Reporting!$J$5:$J$4992,Reporting!$O$5:$O$4992,$B$3,Reporting!$P$5:$P$4992,"Semaine 2",Reporting!$D$5:$D$4992,A7,Reporting!$E$5:$E$4992,B7)</x:f>
        <x:v>2</x:v>
      </x:c>
      <x:c r="G7" s="3" t="n">
        <x:f>SUMIFS(Reporting!$J$5:$J$4992,Reporting!$O$5:$O$4992,$B$3,Reporting!$P$5:$P$4992,"Semaine 2",Reporting!$D$5:$D$4992,A7,Reporting!$E$5:$E$4992,B7,Reporting!$Q$5:$Q$4992,"Prêt")</x:f>
        <x:v>2</x:v>
      </x:c>
      <x:c r="H7" s="3" t="n">
        <x:f>SUMIFS(Reporting!$J$5:$J$4992,Reporting!$O$5:$O$4992,$B$3,Reporting!$P$5:$P$4992,"Semaine 2",Reporting!$D$5:$D$4992,A7,Reporting!$E$5:$E$4992,B7,Reporting!$R$5:$R$4992,"&lt;&gt;OK")</x:f>
        <x:v>0</x:v>
      </x:c>
      <x:c r="I7" s="3" t="n">
        <x:f>SUMIFS(Reporting!$J$5:$J$4992,Reporting!$O$5:$O$4992,$B$3,Reporting!$P$5:$P$4992,"Semaine 2",Reporting!$D$5:$D$4992,A7,Reporting!$E$5:$E$4992,B7,Reporting!$R$5:$R$4992,"OK")</x:f>
        <x:v>2</x:v>
      </x:c>
      <x:c r="J7" s="3" t="n">
        <x:f>SUMIFS(Reporting!$J$5:$J$4992,Reporting!$O$5:$O$4992,$B$3,Reporting!$P$5:$P$4992,"Semaine 2",Reporting!$D$5:$D$4992,A7,Reporting!$E$5:$E$4992,B7,Reporting!$R$5:$R$4992,"KO")</x:f>
        <x:v>0</x:v>
      </x:c>
      <x:c r="K7" s="3" t="n">
        <x:f>SUMIFS(Reporting!$J$5:$J$4992,Reporting!$O$5:$O$4992,$B$3,Reporting!$P$5:$P$4992,"Semaine 2",Reporting!$D$5:$D$4992,A7,Reporting!$E$5:$E$4992,B7,Reporting!$R$5:$R$4992,"En cours")</x:f>
        <x:v>0</x:v>
      </x:c>
    </x:row>
    <x:row r="8">
      <x:c r="A8" s="2" t="s">
        <x:v>61</x:v>
      </x:c>
      <x:c r="B8" s="2" t="s">
        <x:v>83</x:v>
      </x:c>
      <x:c r="C8" s="5" t="n">
        <x:f>SUMIFS(Reporting!$J$5:$J$4992,Reporting!$O$5:$O$4992,$B$3,Reporting!$P$5:$P$4992,"Semaine 1",Reporting!$D$5:$D$4992,A8,Reporting!$E$5:$E$4992,B8)</x:f>
        <x:v>0</x:v>
      </x:c>
      <x:c r="D8" s="5" t="n">
        <x:f>SUMIFS(Reporting!$J$5:$J$4992,Reporting!$O$5:$O$4992,$B$3,Reporting!$P$5:$P$4992,"Semaine 1",Reporting!$D$5:$D$4992,A8,Reporting!$E$5:$E$4992,B8,Reporting!$Q$5:$Q$4992,"Prêt")</x:f>
        <x:v>0</x:v>
      </x:c>
      <x:c r="E8" s="5" t="n">
        <x:f>SUMIFS(Reporting!$J$5:$J$4992,Reporting!$O$5:$O$4992,$B$3,Reporting!$P$5:$P$4992,"Semaine 1",Reporting!$D$5:$D$4992,A8,Reporting!$E$5:$E$4992,B8,Reporting!$R$5:$R$4992,"&lt;&gt;OK")</x:f>
        <x:v>0</x:v>
      </x:c>
      <x:c r="F8" s="3" t="n">
        <x:f>SUMIFS(Reporting!$J$5:$J$4992,Reporting!$O$5:$O$4992,$B$3,Reporting!$P$5:$P$4992,"Semaine 2",Reporting!$D$5:$D$4992,A8,Reporting!$E$5:$E$4992,B8)</x:f>
        <x:v>4</x:v>
      </x:c>
      <x:c r="G8" s="3" t="n">
        <x:f>SUMIFS(Reporting!$J$5:$J$4992,Reporting!$O$5:$O$4992,$B$3,Reporting!$P$5:$P$4992,"Semaine 2",Reporting!$D$5:$D$4992,A8,Reporting!$E$5:$E$4992,B8,Reporting!$Q$5:$Q$4992,"Prêt")</x:f>
        <x:v>4</x:v>
      </x:c>
      <x:c r="H8" s="3" t="n">
        <x:f>SUMIFS(Reporting!$J$5:$J$4992,Reporting!$O$5:$O$4992,$B$3,Reporting!$P$5:$P$4992,"Semaine 2",Reporting!$D$5:$D$4992,A8,Reporting!$E$5:$E$4992,B8,Reporting!$R$5:$R$4992,"&lt;&gt;OK")</x:f>
        <x:v>0</x:v>
      </x:c>
      <x:c r="I8" s="3" t="n">
        <x:f>SUMIFS(Reporting!$J$5:$J$4992,Reporting!$O$5:$O$4992,$B$3,Reporting!$P$5:$P$4992,"Semaine 2",Reporting!$D$5:$D$4992,A8,Reporting!$E$5:$E$4992,B8,Reporting!$R$5:$R$4992,"OK")</x:f>
        <x:v>4</x:v>
      </x:c>
      <x:c r="J8" s="3" t="n">
        <x:f>SUMIFS(Reporting!$J$5:$J$4992,Reporting!$O$5:$O$4992,$B$3,Reporting!$P$5:$P$4992,"Semaine 2",Reporting!$D$5:$D$4992,A8,Reporting!$E$5:$E$4992,B8,Reporting!$R$5:$R$4992,"KO")</x:f>
        <x:v>0</x:v>
      </x:c>
      <x:c r="K8" s="3" t="n">
        <x:f>SUMIFS(Reporting!$J$5:$J$4992,Reporting!$O$5:$O$4992,$B$3,Reporting!$P$5:$P$4992,"Semaine 2",Reporting!$D$5:$D$4992,A8,Reporting!$E$5:$E$4992,B8,Reporting!$R$5:$R$4992,"En cours")</x:f>
        <x:v>0</x:v>
      </x:c>
    </x:row>
    <x:row r="9">
      <x:c r="A9" s="2" t="s">
        <x:v>61</x:v>
      </x:c>
      <x:c r="B9" s="2" t="s">
        <x:v>115</x:v>
      </x:c>
      <x:c r="C9" s="5" t="n">
        <x:f>SUMIFS(Reporting!$J$5:$J$4992,Reporting!$O$5:$O$4992,$B$3,Reporting!$P$5:$P$4992,"Semaine 1",Reporting!$D$5:$D$4992,A9,Reporting!$E$5:$E$4992,B9)</x:f>
        <x:v>0</x:v>
      </x:c>
      <x:c r="D9" s="5" t="n">
        <x:f>SUMIFS(Reporting!$J$5:$J$4992,Reporting!$O$5:$O$4992,$B$3,Reporting!$P$5:$P$4992,"Semaine 1",Reporting!$D$5:$D$4992,A9,Reporting!$E$5:$E$4992,B9,Reporting!$Q$5:$Q$4992,"Prêt")</x:f>
        <x:v>0</x:v>
      </x:c>
      <x:c r="E9" s="5" t="n">
        <x:f>SUMIFS(Reporting!$J$5:$J$4992,Reporting!$O$5:$O$4992,$B$3,Reporting!$P$5:$P$4992,"Semaine 1",Reporting!$D$5:$D$4992,A9,Reporting!$E$5:$E$4992,B9,Reporting!$R$5:$R$4992,"&lt;&gt;OK")</x:f>
        <x:v>0</x:v>
      </x:c>
      <x:c r="F9" s="3" t="n">
        <x:f>SUMIFS(Reporting!$J$5:$J$4992,Reporting!$O$5:$O$4992,$B$3,Reporting!$P$5:$P$4992,"Semaine 2",Reporting!$D$5:$D$4992,A9,Reporting!$E$5:$E$4992,B9)</x:f>
        <x:v>0</x:v>
      </x:c>
      <x:c r="G9" s="3" t="n">
        <x:f>SUMIFS(Reporting!$J$5:$J$4992,Reporting!$O$5:$O$4992,$B$3,Reporting!$P$5:$P$4992,"Semaine 2",Reporting!$D$5:$D$4992,A9,Reporting!$E$5:$E$4992,B9,Reporting!$Q$5:$Q$4992,"Prêt")</x:f>
        <x:v>0</x:v>
      </x:c>
      <x:c r="H9" s="3" t="n">
        <x:f>SUMIFS(Reporting!$J$5:$J$4992,Reporting!$O$5:$O$4992,$B$3,Reporting!$P$5:$P$4992,"Semaine 2",Reporting!$D$5:$D$4992,A9,Reporting!$E$5:$E$4992,B9,Reporting!$R$5:$R$4992,"&lt;&gt;OK")</x:f>
        <x:v>0</x:v>
      </x:c>
      <x:c r="I9" s="3" t="n">
        <x:f>SUMIFS(Reporting!$J$5:$J$4992,Reporting!$O$5:$O$4992,$B$3,Reporting!$P$5:$P$4992,"Semaine 2",Reporting!$D$5:$D$4992,A9,Reporting!$E$5:$E$4992,B9,Reporting!$R$5:$R$4992,"OK")</x:f>
        <x:v>0</x:v>
      </x:c>
      <x:c r="J9" s="3" t="n">
        <x:f>SUMIFS(Reporting!$J$5:$J$4992,Reporting!$O$5:$O$4992,$B$3,Reporting!$P$5:$P$4992,"Semaine 2",Reporting!$D$5:$D$4992,A9,Reporting!$E$5:$E$4992,B9,Reporting!$R$5:$R$4992,"KO")</x:f>
        <x:v>0</x:v>
      </x:c>
      <x:c r="K9" s="3" t="n">
        <x:f>SUMIFS(Reporting!$J$5:$J$4992,Reporting!$O$5:$O$4992,$B$3,Reporting!$P$5:$P$4992,"Semaine 2",Reporting!$D$5:$D$4992,A9,Reporting!$E$5:$E$4992,B9,Reporting!$R$5:$R$4992,"En cours")</x:f>
        <x:v>0</x:v>
      </x:c>
    </x:row>
    <x:row r="10">
      <x:c r="A10" s="2" t="s">
        <x:v>127</x:v>
      </x:c>
      <x:c r="B10" s="2" t="s">
        <x:v>91</x:v>
      </x:c>
      <x:c r="C10" s="5" t="n">
        <x:f>SUMIFS(Reporting!$J$5:$J$4992,Reporting!$O$5:$O$4992,$B$3,Reporting!$P$5:$P$4992,"Semaine 1",Reporting!$D$5:$D$4992,A10,Reporting!$E$5:$E$4992,B10)</x:f>
        <x:v>0</x:v>
      </x:c>
      <x:c r="D10" s="5" t="n">
        <x:f>SUMIFS(Reporting!$J$5:$J$4992,Reporting!$O$5:$O$4992,$B$3,Reporting!$P$5:$P$4992,"Semaine 1",Reporting!$D$5:$D$4992,A10,Reporting!$E$5:$E$4992,B10,Reporting!$Q$5:$Q$4992,"Prêt")</x:f>
        <x:v>0</x:v>
      </x:c>
      <x:c r="E10" s="5" t="n">
        <x:f>SUMIFS(Reporting!$J$5:$J$4992,Reporting!$O$5:$O$4992,$B$3,Reporting!$P$5:$P$4992,"Semaine 1",Reporting!$D$5:$D$4992,A10,Reporting!$E$5:$E$4992,B10,Reporting!$R$5:$R$4992,"&lt;&gt;OK")</x:f>
        <x:v>0</x:v>
      </x:c>
      <x:c r="F10" s="3" t="n">
        <x:f>SUMIFS(Reporting!$J$5:$J$4992,Reporting!$O$5:$O$4992,$B$3,Reporting!$P$5:$P$4992,"Semaine 2",Reporting!$D$5:$D$4992,A10,Reporting!$E$5:$E$4992,B10)</x:f>
        <x:v>19</x:v>
      </x:c>
      <x:c r="G10" s="3" t="n">
        <x:f>SUMIFS(Reporting!$J$5:$J$4992,Reporting!$O$5:$O$4992,$B$3,Reporting!$P$5:$P$4992,"Semaine 2",Reporting!$D$5:$D$4992,A10,Reporting!$E$5:$E$4992,B10,Reporting!$Q$5:$Q$4992,"Prêt")</x:f>
        <x:v>12</x:v>
      </x:c>
      <x:c r="H10" s="3" t="n">
        <x:f>SUMIFS(Reporting!$J$5:$J$4992,Reporting!$O$5:$O$4992,$B$3,Reporting!$P$5:$P$4992,"Semaine 2",Reporting!$D$5:$D$4992,A10,Reporting!$E$5:$E$4992,B10,Reporting!$R$5:$R$4992,"&lt;&gt;OK")</x:f>
        <x:v>2</x:v>
      </x:c>
      <x:c r="I10" s="3" t="n">
        <x:f>SUMIFS(Reporting!$J$5:$J$4992,Reporting!$O$5:$O$4992,$B$3,Reporting!$P$5:$P$4992,"Semaine 2",Reporting!$D$5:$D$4992,A10,Reporting!$E$5:$E$4992,B10,Reporting!$R$5:$R$4992,"OK")</x:f>
        <x:v>17</x:v>
      </x:c>
      <x:c r="J10" s="3" t="n">
        <x:f>SUMIFS(Reporting!$J$5:$J$4992,Reporting!$O$5:$O$4992,$B$3,Reporting!$P$5:$P$4992,"Semaine 2",Reporting!$D$5:$D$4992,A10,Reporting!$E$5:$E$4992,B10,Reporting!$R$5:$R$4992,"KO")</x:f>
        <x:v>2</x:v>
      </x:c>
      <x:c r="K10" s="3" t="n">
        <x:f>SUMIFS(Reporting!$J$5:$J$4992,Reporting!$O$5:$O$4992,$B$3,Reporting!$P$5:$P$4992,"Semaine 2",Reporting!$D$5:$D$4992,A10,Reporting!$E$5:$E$4992,B10,Reporting!$R$5:$R$4992,"En cours")</x:f>
        <x:v>0</x:v>
      </x:c>
    </x:row>
    <x:row r="11">
      <x:c r="A11" s="2" t="s">
        <x:v>127</x:v>
      </x:c>
      <x:c r="B11" s="2" t="s">
        <x:v>153</x:v>
      </x:c>
      <x:c r="C11" s="5" t="n">
        <x:f>SUMIFS(Reporting!$J$5:$J$4992,Reporting!$O$5:$O$4992,$B$3,Reporting!$P$5:$P$4992,"Semaine 1",Reporting!$D$5:$D$4992,A11,Reporting!$E$5:$E$4992,B11)</x:f>
        <x:v>0</x:v>
      </x:c>
      <x:c r="D11" s="5" t="n">
        <x:f>SUMIFS(Reporting!$J$5:$J$4992,Reporting!$O$5:$O$4992,$B$3,Reporting!$P$5:$P$4992,"Semaine 1",Reporting!$D$5:$D$4992,A11,Reporting!$E$5:$E$4992,B11,Reporting!$Q$5:$Q$4992,"Prêt")</x:f>
        <x:v>0</x:v>
      </x:c>
      <x:c r="E11" s="5" t="n">
        <x:f>SUMIFS(Reporting!$J$5:$J$4992,Reporting!$O$5:$O$4992,$B$3,Reporting!$P$5:$P$4992,"Semaine 1",Reporting!$D$5:$D$4992,A11,Reporting!$E$5:$E$4992,B11,Reporting!$R$5:$R$4992,"&lt;&gt;OK")</x:f>
        <x:v>0</x:v>
      </x:c>
      <x:c r="F11" s="3" t="n">
        <x:f>SUMIFS(Reporting!$J$5:$J$4992,Reporting!$O$5:$O$4992,$B$3,Reporting!$P$5:$P$4992,"Semaine 2",Reporting!$D$5:$D$4992,A11,Reporting!$E$5:$E$4992,B11)</x:f>
        <x:v>3</x:v>
      </x:c>
      <x:c r="G11" s="3" t="n">
        <x:f>SUMIFS(Reporting!$J$5:$J$4992,Reporting!$O$5:$O$4992,$B$3,Reporting!$P$5:$P$4992,"Semaine 2",Reporting!$D$5:$D$4992,A11,Reporting!$E$5:$E$4992,B11,Reporting!$Q$5:$Q$4992,"Prêt")</x:f>
        <x:v>2</x:v>
      </x:c>
      <x:c r="H11" s="3" t="n">
        <x:f>SUMIFS(Reporting!$J$5:$J$4992,Reporting!$O$5:$O$4992,$B$3,Reporting!$P$5:$P$4992,"Semaine 2",Reporting!$D$5:$D$4992,A11,Reporting!$E$5:$E$4992,B11,Reporting!$R$5:$R$4992,"&lt;&gt;OK")</x:f>
        <x:v>0</x:v>
      </x:c>
      <x:c r="I11" s="3" t="n">
        <x:f>SUMIFS(Reporting!$J$5:$J$4992,Reporting!$O$5:$O$4992,$B$3,Reporting!$P$5:$P$4992,"Semaine 2",Reporting!$D$5:$D$4992,A11,Reporting!$E$5:$E$4992,B11,Reporting!$R$5:$R$4992,"OK")</x:f>
        <x:v>3</x:v>
      </x:c>
      <x:c r="J11" s="3" t="n">
        <x:f>SUMIFS(Reporting!$J$5:$J$4992,Reporting!$O$5:$O$4992,$B$3,Reporting!$P$5:$P$4992,"Semaine 2",Reporting!$D$5:$D$4992,A11,Reporting!$E$5:$E$4992,B11,Reporting!$R$5:$R$4992,"KO")</x:f>
        <x:v>0</x:v>
      </x:c>
      <x:c r="K11" s="3" t="n">
        <x:f>SUMIFS(Reporting!$J$5:$J$4992,Reporting!$O$5:$O$4992,$B$3,Reporting!$P$5:$P$4992,"Semaine 2",Reporting!$D$5:$D$4992,A11,Reporting!$E$5:$E$4992,B11,Reporting!$R$5:$R$4992,"En cours")</x:f>
        <x:v>0</x:v>
      </x:c>
    </x:row>
    <x:row r="12">
      <x:c r="A12" s="2" t="s">
        <x:v>127</x:v>
      </x:c>
      <x:c r="B12" s="2" t="s">
        <x:v>251</x:v>
      </x:c>
      <x:c r="C12" s="5" t="n">
        <x:f>SUMIFS(Reporting!$J$5:$J$4992,Reporting!$O$5:$O$4992,$B$3,Reporting!$P$5:$P$4992,"Semaine 1",Reporting!$D$5:$D$4992,A12,Reporting!$E$5:$E$4992,B12)</x:f>
        <x:v>0</x:v>
      </x:c>
      <x:c r="D12" s="5" t="n">
        <x:f>SUMIFS(Reporting!$J$5:$J$4992,Reporting!$O$5:$O$4992,$B$3,Reporting!$P$5:$P$4992,"Semaine 1",Reporting!$D$5:$D$4992,A12,Reporting!$E$5:$E$4992,B12,Reporting!$Q$5:$Q$4992,"Prêt")</x:f>
        <x:v>0</x:v>
      </x:c>
      <x:c r="E12" s="5" t="n">
        <x:f>SUMIFS(Reporting!$J$5:$J$4992,Reporting!$O$5:$O$4992,$B$3,Reporting!$P$5:$P$4992,"Semaine 1",Reporting!$D$5:$D$4992,A12,Reporting!$E$5:$E$4992,B12,Reporting!$R$5:$R$4992,"&lt;&gt;OK")</x:f>
        <x:v>0</x:v>
      </x:c>
      <x:c r="F12" s="3" t="n">
        <x:f>SUMIFS(Reporting!$J$5:$J$4992,Reporting!$O$5:$O$4992,$B$3,Reporting!$P$5:$P$4992,"Semaine 2",Reporting!$D$5:$D$4992,A12,Reporting!$E$5:$E$4992,B12)</x:f>
        <x:v>8</x:v>
      </x:c>
      <x:c r="G12" s="3" t="n">
        <x:f>SUMIFS(Reporting!$J$5:$J$4992,Reporting!$O$5:$O$4992,$B$3,Reporting!$P$5:$P$4992,"Semaine 2",Reporting!$D$5:$D$4992,A12,Reporting!$E$5:$E$4992,B12,Reporting!$Q$5:$Q$4992,"Prêt")</x:f>
        <x:v>8</x:v>
      </x:c>
      <x:c r="H12" s="3" t="n">
        <x:f>SUMIFS(Reporting!$J$5:$J$4992,Reporting!$O$5:$O$4992,$B$3,Reporting!$P$5:$P$4992,"Semaine 2",Reporting!$D$5:$D$4992,A12,Reporting!$E$5:$E$4992,B12,Reporting!$R$5:$R$4992,"&lt;&gt;OK")</x:f>
        <x:v>0</x:v>
      </x:c>
      <x:c r="I12" s="3" t="n">
        <x:f>SUMIFS(Reporting!$J$5:$J$4992,Reporting!$O$5:$O$4992,$B$3,Reporting!$P$5:$P$4992,"Semaine 2",Reporting!$D$5:$D$4992,A12,Reporting!$E$5:$E$4992,B12,Reporting!$R$5:$R$4992,"OK")</x:f>
        <x:v>8</x:v>
      </x:c>
      <x:c r="J12" s="3" t="n">
        <x:f>SUMIFS(Reporting!$J$5:$J$4992,Reporting!$O$5:$O$4992,$B$3,Reporting!$P$5:$P$4992,"Semaine 2",Reporting!$D$5:$D$4992,A12,Reporting!$E$5:$E$4992,B12,Reporting!$R$5:$R$4992,"KO")</x:f>
        <x:v>0</x:v>
      </x:c>
      <x:c r="K12" s="3" t="n">
        <x:f>SUMIFS(Reporting!$J$5:$J$4992,Reporting!$O$5:$O$4992,$B$3,Reporting!$P$5:$P$4992,"Semaine 2",Reporting!$D$5:$D$4992,A12,Reporting!$E$5:$E$4992,B12,Reporting!$R$5:$R$4992,"En cours")</x:f>
        <x:v>0</x:v>
      </x:c>
    </x:row>
    <x:row r="13">
      <x:c r="A13" s="2" t="s">
        <x:v>127</x:v>
      </x:c>
      <x:c r="B13" s="2" t="s">
        <x:v>252</x:v>
      </x:c>
      <x:c r="C13" s="5" t="n">
        <x:f>SUMIFS(Reporting!$J$5:$J$4992,Reporting!$O$5:$O$4992,$B$3,Reporting!$P$5:$P$4992,"Semaine 1",Reporting!$D$5:$D$4992,A13,Reporting!$E$5:$E$4992,B13)</x:f>
        <x:v>0</x:v>
      </x:c>
      <x:c r="D13" s="5" t="n">
        <x:f>SUMIFS(Reporting!$J$5:$J$4992,Reporting!$O$5:$O$4992,$B$3,Reporting!$P$5:$P$4992,"Semaine 1",Reporting!$D$5:$D$4992,A13,Reporting!$E$5:$E$4992,B13,Reporting!$Q$5:$Q$4992,"Prêt")</x:f>
        <x:v>0</x:v>
      </x:c>
      <x:c r="E13" s="5" t="n">
        <x:f>SUMIFS(Reporting!$J$5:$J$4992,Reporting!$O$5:$O$4992,$B$3,Reporting!$P$5:$P$4992,"Semaine 1",Reporting!$D$5:$D$4992,A13,Reporting!$E$5:$E$4992,B13,Reporting!$R$5:$R$4992,"&lt;&gt;OK")</x:f>
        <x:v>0</x:v>
      </x:c>
      <x:c r="F13" s="3" t="n">
        <x:f>SUMIFS(Reporting!$J$5:$J$4992,Reporting!$O$5:$O$4992,$B$3,Reporting!$P$5:$P$4992,"Semaine 2",Reporting!$D$5:$D$4992,A13,Reporting!$E$5:$E$4992,B13)</x:f>
        <x:v>4</x:v>
      </x:c>
      <x:c r="G13" s="3" t="n">
        <x:f>SUMIFS(Reporting!$J$5:$J$4992,Reporting!$O$5:$O$4992,$B$3,Reporting!$P$5:$P$4992,"Semaine 2",Reporting!$D$5:$D$4992,A13,Reporting!$E$5:$E$4992,B13,Reporting!$Q$5:$Q$4992,"Prêt")</x:f>
        <x:v>4</x:v>
      </x:c>
      <x:c r="H13" s="3" t="n">
        <x:f>SUMIFS(Reporting!$J$5:$J$4992,Reporting!$O$5:$O$4992,$B$3,Reporting!$P$5:$P$4992,"Semaine 2",Reporting!$D$5:$D$4992,A13,Reporting!$E$5:$E$4992,B13,Reporting!$R$5:$R$4992,"&lt;&gt;OK")</x:f>
        <x:v>0</x:v>
      </x:c>
      <x:c r="I13" s="3" t="n">
        <x:f>SUMIFS(Reporting!$J$5:$J$4992,Reporting!$O$5:$O$4992,$B$3,Reporting!$P$5:$P$4992,"Semaine 2",Reporting!$D$5:$D$4992,A13,Reporting!$E$5:$E$4992,B13,Reporting!$R$5:$R$4992,"OK")</x:f>
        <x:v>4</x:v>
      </x:c>
      <x:c r="J13" s="3" t="n">
        <x:f>SUMIFS(Reporting!$J$5:$J$4992,Reporting!$O$5:$O$4992,$B$3,Reporting!$P$5:$P$4992,"Semaine 2",Reporting!$D$5:$D$4992,A13,Reporting!$E$5:$E$4992,B13,Reporting!$R$5:$R$4992,"KO")</x:f>
        <x:v>0</x:v>
      </x:c>
      <x:c r="K13" s="3" t="n">
        <x:f>SUMIFS(Reporting!$J$5:$J$4992,Reporting!$O$5:$O$4992,$B$3,Reporting!$P$5:$P$4992,"Semaine 2",Reporting!$D$5:$D$4992,A13,Reporting!$E$5:$E$4992,B13,Reporting!$R$5:$R$4992,"En cours")</x:f>
        <x:v>0</x:v>
      </x:c>
    </x:row>
  </x:sheetData>
  <x:mergeCells>
    <x:mergeCell ref="A1:K1"/>
    <x:mergeCell ref="A2:K2"/>
  </x:mergeCells>
  <x:pageMargins left="0.7" right="0.7" top="0.75" bottom="0.75" header="0.3" footer="0.3"/>
  <x:drawing xmlns:r="http://schemas.openxmlformats.org/officeDocument/2006/relationships" r:id="Rb3d14101e7cb4a3a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10" defaultColWidth="8.88671875" defaultRowHeight="14.399999618530273"/>
  <x:cols>
    <x:col min="1" max="1" width="14" customWidth="1"/>
    <x:col min="2" max="2" width="17" customWidth="1"/>
    <x:col min="3" max="3" width="13" customWidth="1"/>
    <x:col min="4" max="4" width="15" customWidth="1"/>
    <x:col min="5" max="5" width="16" customWidth="1"/>
    <x:col min="6" max="6" width="25" customWidth="1"/>
    <x:col min="7" max="7" width="16" customWidth="1"/>
    <x:col min="8" max="8" width="18" customWidth="1"/>
    <x:col min="9" max="9" width="20" customWidth="1"/>
    <x:col min="10" max="10" width="18" customWidth="1"/>
    <x:col min="11" max="11" width="15" customWidth="1"/>
    <x:col min="12" max="12" width="17" customWidth="1"/>
    <x:col min="13" max="13" width="16" customWidth="1"/>
    <x:col min="14" max="14" width="40" customWidth="1"/>
  </x:cols>
  <x:sheetData>
    <x:row r="1" ht="21">
      <x:c r="A1" s="21" t="s">
        <x:v>253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</x:row>
    <x:row r="2">
      <x:c r="A2" s="23" t="s">
        <x:v>225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</x:row>
    <x:row r="4">
      <x:c r="A4" s="1" t="s">
        <x:v>254</x:v>
      </x:c>
      <x:c r="B4" s="1" t="s">
        <x:v>255</x:v>
      </x:c>
      <x:c r="C4" s="1" t="s">
        <x:v>177</x:v>
      </x:c>
      <x:c r="D4" s="1" t="s">
        <x:v>256</x:v>
      </x:c>
      <x:c r="E4" s="1" t="s">
        <x:v>46</x:v>
      </x:c>
      <x:c r="F4" s="1" t="s">
        <x:v>241</x:v>
      </x:c>
      <x:c r="G4" s="1" t="s">
        <x:v>257</x:v>
      </x:c>
      <x:c r="H4" s="1" t="s">
        <x:v>258</x:v>
      </x:c>
      <x:c r="I4" s="1" t="s">
        <x:v>259</x:v>
      </x:c>
      <x:c r="J4" s="1" t="s">
        <x:v>260</x:v>
      </x:c>
      <x:c r="K4" s="1" t="s">
        <x:v>261</x:v>
      </x:c>
      <x:c r="L4" s="1" t="s">
        <x:v>262</x:v>
      </x:c>
      <x:c r="M4" s="1" t="s">
        <x:v>263</x:v>
      </x:c>
      <x:c r="N4" s="1" t="s">
        <x:v>184</x:v>
      </x:c>
    </x:row>
    <x:row r="5">
      <x:c r="A5" s="2" t="n">
        <x:f>Reporting!O5</x:f>
        <x:v>0</x:v>
      </x:c>
      <x:c r="B5" s="2" t="n">
        <x:f>Reporting!P5</x:f>
        <x:v>0</x:v>
      </x:c>
      <x:c r="C5" s="2" t="n">
        <x:f>Reporting!A5</x:f>
        <x:v>0</x:v>
      </x:c>
      <x:c r="D5" s="2" t="n">
        <x:f>Reporting!L5</x:f>
        <x:v>0</x:v>
      </x:c>
      <x:c r="E5" s="2" t="n">
        <x:f>Reporting!D5</x:f>
        <x:v>0</x:v>
      </x:c>
      <x:c r="F5" s="2" t="str">
        <x:f>Reporting!E5</x:f>
        <x:v>Chaine de valeur flux</x:v>
      </x:c>
      <x:c r="G5" s="2" t="n">
        <x:f>Reporting!F5</x:f>
        <x:v>0</x:v>
      </x:c>
      <x:c r="H5" s="2" t="n">
        <x:f>Reporting!G5</x:f>
        <x:v>0</x:v>
      </x:c>
      <x:c r="I5" s="2" t="n">
        <x:f>Reporting!C5</x:f>
        <x:v>0</x:v>
      </x:c>
      <x:c r="J5" s="2" t="n">
        <x:f>Reporting!I5</x:f>
        <x:v>0</x:v>
      </x:c>
      <x:c r="K5" s="2" t="n">
        <x:f>Reporting!Q5</x:f>
        <x:v>0</x:v>
      </x:c>
      <x:c r="L5" s="2" t="n">
        <x:f>Reporting!R5</x:f>
        <x:v>0</x:v>
      </x:c>
      <x:c r="M5" s="2" t="str">
        <x:f>Reporting!H5</x:f>
      </x:c>
      <x:c r="N5" s="2" t="n">
        <x:f>Reporting!K5</x:f>
        <x:v>0</x:v>
      </x:c>
    </x:row>
    <x:row r="6">
      <x:c r="A6" s="2" t="e">
        <x:f>Reporting!#REF!</x:f>
        <x:v>#REF!</x:v>
      </x:c>
      <x:c r="B6" s="2" t="e">
        <x:f>Reporting!#REF!</x:f>
        <x:v>#REF!</x:v>
      </x:c>
      <x:c r="C6" s="2" t="e">
        <x:f>Reporting!#REF!</x:f>
        <x:v>#REF!</x:v>
      </x:c>
      <x:c r="D6" s="2" t="e">
        <x:f>Reporting!#REF!</x:f>
        <x:v>#REF!</x:v>
      </x:c>
      <x:c r="E6" s="2" t="e">
        <x:f>Reporting!#REF!</x:f>
        <x:v>#REF!</x:v>
      </x:c>
      <x:c r="F6" s="2" t="e">
        <x:f>Reporting!#REF!</x:f>
        <x:v>#REF!</x:v>
      </x:c>
      <x:c r="G6" s="2" t="e">
        <x:f>Reporting!#REF!</x:f>
        <x:v>#REF!</x:v>
      </x:c>
      <x:c r="H6" s="2" t="e">
        <x:f>Reporting!#REF!</x:f>
        <x:v>#REF!</x:v>
      </x:c>
      <x:c r="I6" s="2" t="e">
        <x:f>Reporting!#REF!</x:f>
        <x:v>#REF!</x:v>
      </x:c>
      <x:c r="J6" s="2" t="e">
        <x:f>Reporting!#REF!</x:f>
        <x:v>#REF!</x:v>
      </x:c>
      <x:c r="K6" s="2" t="e">
        <x:f>Reporting!#REF!</x:f>
        <x:v>#REF!</x:v>
      </x:c>
      <x:c r="L6" s="2" t="e">
        <x:f>Reporting!#REF!</x:f>
        <x:v>#REF!</x:v>
      </x:c>
      <x:c r="M6" s="2" t="e">
        <x:f>Reporting!#REF!</x:f>
        <x:v>#REF!</x:v>
      </x:c>
      <x:c r="N6" s="2" t="e">
        <x:f>Reporting!#REF!</x:f>
        <x:v>#REF!</x:v>
      </x:c>
    </x:row>
    <x:row r="7">
      <x:c r="A7" s="2" t="e">
        <x:f>Reporting!#REF!</x:f>
        <x:v>#REF!</x:v>
      </x:c>
      <x:c r="B7" s="2" t="e">
        <x:f>Reporting!#REF!</x:f>
        <x:v>#REF!</x:v>
      </x:c>
      <x:c r="C7" s="2" t="e">
        <x:f>Reporting!#REF!</x:f>
        <x:v>#REF!</x:v>
      </x:c>
      <x:c r="D7" s="2" t="e">
        <x:f>Reporting!#REF!</x:f>
        <x:v>#REF!</x:v>
      </x:c>
      <x:c r="E7" s="2" t="e">
        <x:f>Reporting!#REF!</x:f>
        <x:v>#REF!</x:v>
      </x:c>
      <x:c r="F7" s="2" t="e">
        <x:f>Reporting!#REF!</x:f>
        <x:v>#REF!</x:v>
      </x:c>
      <x:c r="G7" s="2" t="e">
        <x:f>Reporting!#REF!</x:f>
        <x:v>#REF!</x:v>
      </x:c>
      <x:c r="H7" s="2" t="e">
        <x:f>Reporting!#REF!</x:f>
        <x:v>#REF!</x:v>
      </x:c>
      <x:c r="I7" s="2" t="e">
        <x:f>Reporting!#REF!</x:f>
        <x:v>#REF!</x:v>
      </x:c>
      <x:c r="J7" s="2" t="e">
        <x:f>Reporting!#REF!</x:f>
        <x:v>#REF!</x:v>
      </x:c>
      <x:c r="K7" s="2" t="e">
        <x:f>Reporting!#REF!</x:f>
        <x:v>#REF!</x:v>
      </x:c>
      <x:c r="L7" s="2" t="e">
        <x:f>Reporting!#REF!</x:f>
        <x:v>#REF!</x:v>
      </x:c>
      <x:c r="M7" s="2" t="e">
        <x:f>Reporting!#REF!</x:f>
        <x:v>#REF!</x:v>
      </x:c>
      <x:c r="N7" s="2" t="e">
        <x:f>Reporting!#REF!</x:f>
        <x:v>#REF!</x:v>
      </x:c>
    </x:row>
    <x:row r="8">
      <x:c r="A8" s="2" t="e">
        <x:f>Reporting!#REF!</x:f>
        <x:v>#REF!</x:v>
      </x:c>
      <x:c r="B8" s="2" t="e">
        <x:f>Reporting!#REF!</x:f>
        <x:v>#REF!</x:v>
      </x:c>
      <x:c r="C8" s="2" t="e">
        <x:f>Reporting!#REF!</x:f>
        <x:v>#REF!</x:v>
      </x:c>
      <x:c r="D8" s="2" t="e">
        <x:f>Reporting!#REF!</x:f>
        <x:v>#REF!</x:v>
      </x:c>
      <x:c r="E8" s="2" t="e">
        <x:f>Reporting!#REF!</x:f>
        <x:v>#REF!</x:v>
      </x:c>
      <x:c r="F8" s="2" t="e">
        <x:f>Reporting!#REF!</x:f>
        <x:v>#REF!</x:v>
      </x:c>
      <x:c r="G8" s="2" t="e">
        <x:f>Reporting!#REF!</x:f>
        <x:v>#REF!</x:v>
      </x:c>
      <x:c r="H8" s="2" t="e">
        <x:f>Reporting!#REF!</x:f>
        <x:v>#REF!</x:v>
      </x:c>
      <x:c r="I8" s="2" t="e">
        <x:f>Reporting!#REF!</x:f>
        <x:v>#REF!</x:v>
      </x:c>
      <x:c r="J8" s="2" t="e">
        <x:f>Reporting!#REF!</x:f>
        <x:v>#REF!</x:v>
      </x:c>
      <x:c r="K8" s="2" t="e">
        <x:f>Reporting!#REF!</x:f>
        <x:v>#REF!</x:v>
      </x:c>
      <x:c r="L8" s="2" t="e">
        <x:f>Reporting!#REF!</x:f>
        <x:v>#REF!</x:v>
      </x:c>
      <x:c r="M8" s="2" t="e">
        <x:f>Reporting!#REF!</x:f>
        <x:v>#REF!</x:v>
      </x:c>
      <x:c r="N8" s="2" t="e">
        <x:f>Reporting!#REF!</x:f>
        <x:v>#REF!</x:v>
      </x:c>
    </x:row>
    <x:row r="9">
      <x:c r="A9" s="2" t="e">
        <x:f>Reporting!#REF!</x:f>
        <x:v>#REF!</x:v>
      </x:c>
      <x:c r="B9" s="2" t="e">
        <x:f>Reporting!#REF!</x:f>
        <x:v>#REF!</x:v>
      </x:c>
      <x:c r="C9" s="2" t="e">
        <x:f>Reporting!#REF!</x:f>
        <x:v>#REF!</x:v>
      </x:c>
      <x:c r="D9" s="2" t="e">
        <x:f>Reporting!#REF!</x:f>
        <x:v>#REF!</x:v>
      </x:c>
      <x:c r="E9" s="2" t="e">
        <x:f>Reporting!#REF!</x:f>
        <x:v>#REF!</x:v>
      </x:c>
      <x:c r="F9" s="2" t="e">
        <x:f>Reporting!#REF!</x:f>
        <x:v>#REF!</x:v>
      </x:c>
      <x:c r="G9" s="2" t="e">
        <x:f>Reporting!#REF!</x:f>
        <x:v>#REF!</x:v>
      </x:c>
      <x:c r="H9" s="2" t="e">
        <x:f>Reporting!#REF!</x:f>
        <x:v>#REF!</x:v>
      </x:c>
      <x:c r="I9" s="2" t="e">
        <x:f>Reporting!#REF!</x:f>
        <x:v>#REF!</x:v>
      </x:c>
      <x:c r="J9" s="2" t="e">
        <x:f>Reporting!#REF!</x:f>
        <x:v>#REF!</x:v>
      </x:c>
      <x:c r="K9" s="2" t="e">
        <x:f>Reporting!#REF!</x:f>
        <x:v>#REF!</x:v>
      </x:c>
      <x:c r="L9" s="2" t="e">
        <x:f>Reporting!#REF!</x:f>
        <x:v>#REF!</x:v>
      </x:c>
      <x:c r="M9" s="2" t="e">
        <x:f>Reporting!#REF!</x:f>
        <x:v>#REF!</x:v>
      </x:c>
      <x:c r="N9" s="2" t="e">
        <x:f>Reporting!#REF!</x:f>
        <x:v>#REF!</x:v>
      </x:c>
    </x:row>
    <x:row r="10" ht="28.799999237060547">
      <x:c r="A10" s="2" t="n">
        <x:f>Reporting!O6</x:f>
        <x:v>0</x:v>
      </x:c>
      <x:c r="B10" s="2" t="n">
        <x:f>Reporting!P6</x:f>
        <x:v>0</x:v>
      </x:c>
      <x:c r="C10" s="2" t="n">
        <x:f>Reporting!A6</x:f>
        <x:v>0</x:v>
      </x:c>
      <x:c r="D10" s="2" t="n">
        <x:f>Reporting!L6</x:f>
        <x:v>0</x:v>
      </x:c>
      <x:c r="E10" s="2" t="str">
        <x:f>Reporting!D6</x:f>
      </x:c>
      <x:c r="F10" s="2" t="n">
        <x:f>Reporting!E6</x:f>
        <x:v>0</x:v>
      </x:c>
      <x:c r="G10" s="2" t="n">
        <x:f>Reporting!F6</x:f>
        <x:v>0</x:v>
      </x:c>
      <x:c r="H10" s="2" t="n">
        <x:f>Reporting!G6</x:f>
        <x:v>0</x:v>
      </x:c>
      <x:c r="I10" s="2" t="n">
        <x:f>Reporting!C6</x:f>
        <x:v>0</x:v>
      </x:c>
      <x:c r="J10" s="2" t="str">
        <x:f>Reporting!I6</x:f>
        <x:v>Génération du CI AVRO</x:v>
      </x:c>
      <x:c r="K10" s="2" t="n">
        <x:f>Reporting!Q6</x:f>
        <x:v>0</x:v>
      </x:c>
      <x:c r="L10" s="2" t="n">
        <x:f>Reporting!R6</x:f>
        <x:v>0</x:v>
      </x:c>
      <x:c r="M10" s="2" t="n">
        <x:f>Reporting!H6</x:f>
        <x:v>0</x:v>
      </x:c>
      <x:c r="N10" s="2" t="n">
        <x:f>Reporting!K6</x:f>
        <x:v>0</x:v>
      </x:c>
    </x:row>
    <x:row r="11" ht="28.799999237060547">
      <x:c r="A11" s="2" t="e">
        <x:f>Reporting!#REF!</x:f>
        <x:v>#REF!</x:v>
      </x:c>
      <x:c r="B11" s="2" t="e">
        <x:f>Reporting!#REF!</x:f>
        <x:v>#REF!</x:v>
      </x:c>
      <x:c r="C11" s="2" t="e">
        <x:f>Reporting!#REF!</x:f>
        <x:v>#REF!</x:v>
      </x:c>
      <x:c r="D11" s="2" t="e">
        <x:f>Reporting!#REF!</x:f>
        <x:v>#REF!</x:v>
      </x:c>
      <x:c r="E11" s="2" t="e">
        <x:f>Reporting!#REF!</x:f>
        <x:v>#REF!</x:v>
      </x:c>
      <x:c r="F11" s="2" t="e">
        <x:f>Reporting!#REF!</x:f>
        <x:v>#REF!</x:v>
      </x:c>
      <x:c r="G11" s="2" t="e">
        <x:f>Reporting!#REF!</x:f>
        <x:v>#REF!</x:v>
      </x:c>
      <x:c r="H11" s="2" t="e">
        <x:f>Reporting!#REF!</x:f>
        <x:v>#REF!</x:v>
      </x:c>
      <x:c r="I11" s="2" t="e">
        <x:f>Reporting!#REF!</x:f>
        <x:v>#REF!</x:v>
      </x:c>
      <x:c r="J11" s="2" t="e">
        <x:f>Reporting!#REF!</x:f>
        <x:v>#REF!</x:v>
      </x:c>
      <x:c r="K11" s="2" t="e">
        <x:f>Reporting!#REF!</x:f>
        <x:v>#REF!</x:v>
      </x:c>
      <x:c r="L11" s="2" t="e">
        <x:f>Reporting!#REF!</x:f>
        <x:v>#REF!</x:v>
      </x:c>
      <x:c r="M11" s="2" t="e">
        <x:f>Reporting!#REF!</x:f>
        <x:v>#REF!</x:v>
      </x:c>
      <x:c r="N11" s="2" t="e">
        <x:f>Reporting!#REF!</x:f>
        <x:v>#REF!</x:v>
      </x:c>
    </x:row>
    <x:row r="12" ht="28.799999237060547">
      <x:c r="A12" s="2" t="e">
        <x:f>Reporting!#REF!</x:f>
        <x:v>#REF!</x:v>
      </x:c>
      <x:c r="B12" s="2" t="e">
        <x:f>Reporting!#REF!</x:f>
        <x:v>#REF!</x:v>
      </x:c>
      <x:c r="C12" s="2" t="e">
        <x:f>Reporting!#REF!</x:f>
        <x:v>#REF!</x:v>
      </x:c>
      <x:c r="D12" s="2" t="e">
        <x:f>Reporting!#REF!</x:f>
        <x:v>#REF!</x:v>
      </x:c>
      <x:c r="E12" s="2" t="e">
        <x:f>Reporting!#REF!</x:f>
        <x:v>#REF!</x:v>
      </x:c>
      <x:c r="F12" s="2" t="e">
        <x:f>Reporting!#REF!</x:f>
        <x:v>#REF!</x:v>
      </x:c>
      <x:c r="G12" s="2" t="e">
        <x:f>Reporting!#REF!</x:f>
        <x:v>#REF!</x:v>
      </x:c>
      <x:c r="H12" s="2" t="e">
        <x:f>Reporting!#REF!</x:f>
        <x:v>#REF!</x:v>
      </x:c>
      <x:c r="I12" s="2" t="e">
        <x:f>Reporting!#REF!</x:f>
        <x:v>#REF!</x:v>
      </x:c>
      <x:c r="J12" s="2" t="e">
        <x:f>Reporting!#REF!</x:f>
        <x:v>#REF!</x:v>
      </x:c>
      <x:c r="K12" s="2" t="e">
        <x:f>Reporting!#REF!</x:f>
        <x:v>#REF!</x:v>
      </x:c>
      <x:c r="L12" s="2" t="e">
        <x:f>Reporting!#REF!</x:f>
        <x:v>#REF!</x:v>
      </x:c>
      <x:c r="M12" s="2" t="e">
        <x:f>Reporting!#REF!</x:f>
        <x:v>#REF!</x:v>
      </x:c>
      <x:c r="N12" s="2" t="e">
        <x:f>Reporting!#REF!</x:f>
        <x:v>#REF!</x:v>
      </x:c>
    </x:row>
    <x:row r="13" ht="28.799999237060547">
      <x:c r="A13" s="2" t="e">
        <x:f>Reporting!#REF!</x:f>
        <x:v>#REF!</x:v>
      </x:c>
      <x:c r="B13" s="2" t="e">
        <x:f>Reporting!#REF!</x:f>
        <x:v>#REF!</x:v>
      </x:c>
      <x:c r="C13" s="2" t="e">
        <x:f>Reporting!#REF!</x:f>
        <x:v>#REF!</x:v>
      </x:c>
      <x:c r="D13" s="2" t="e">
        <x:f>Reporting!#REF!</x:f>
        <x:v>#REF!</x:v>
      </x:c>
      <x:c r="E13" s="2" t="e">
        <x:f>Reporting!#REF!</x:f>
        <x:v>#REF!</x:v>
      </x:c>
      <x:c r="F13" s="2" t="e">
        <x:f>Reporting!#REF!</x:f>
        <x:v>#REF!</x:v>
      </x:c>
      <x:c r="G13" s="2" t="e">
        <x:f>Reporting!#REF!</x:f>
        <x:v>#REF!</x:v>
      </x:c>
      <x:c r="H13" s="2" t="e">
        <x:f>Reporting!#REF!</x:f>
        <x:v>#REF!</x:v>
      </x:c>
      <x:c r="I13" s="2" t="e">
        <x:f>Reporting!#REF!</x:f>
        <x:v>#REF!</x:v>
      </x:c>
      <x:c r="J13" s="2" t="e">
        <x:f>Reporting!#REF!</x:f>
        <x:v>#REF!</x:v>
      </x:c>
      <x:c r="K13" s="2" t="e">
        <x:f>Reporting!#REF!</x:f>
        <x:v>#REF!</x:v>
      </x:c>
      <x:c r="L13" s="2" t="e">
        <x:f>Reporting!#REF!</x:f>
        <x:v>#REF!</x:v>
      </x:c>
      <x:c r="M13" s="2" t="e">
        <x:f>Reporting!#REF!</x:f>
        <x:v>#REF!</x:v>
      </x:c>
      <x:c r="N13" s="2" t="e">
        <x:f>Reporting!#REF!</x:f>
        <x:v>#REF!</x:v>
      </x:c>
    </x:row>
    <x:row r="14" ht="28.799999237060547">
      <x:c r="A14" s="2" t="e">
        <x:f>Reporting!#REF!</x:f>
        <x:v>#REF!</x:v>
      </x:c>
      <x:c r="B14" s="2" t="e">
        <x:f>Reporting!#REF!</x:f>
        <x:v>#REF!</x:v>
      </x:c>
      <x:c r="C14" s="2" t="e">
        <x:f>Reporting!#REF!</x:f>
        <x:v>#REF!</x:v>
      </x:c>
      <x:c r="D14" s="2" t="e">
        <x:f>Reporting!#REF!</x:f>
        <x:v>#REF!</x:v>
      </x:c>
      <x:c r="E14" s="2" t="e">
        <x:f>Reporting!#REF!</x:f>
        <x:v>#REF!</x:v>
      </x:c>
      <x:c r="F14" s="2" t="e">
        <x:f>Reporting!#REF!</x:f>
        <x:v>#REF!</x:v>
      </x:c>
      <x:c r="G14" s="2" t="e">
        <x:f>Reporting!#REF!</x:f>
        <x:v>#REF!</x:v>
      </x:c>
      <x:c r="H14" s="2" t="e">
        <x:f>Reporting!#REF!</x:f>
        <x:v>#REF!</x:v>
      </x:c>
      <x:c r="I14" s="2" t="e">
        <x:f>Reporting!#REF!</x:f>
        <x:v>#REF!</x:v>
      </x:c>
      <x:c r="J14" s="2" t="e">
        <x:f>Reporting!#REF!</x:f>
        <x:v>#REF!</x:v>
      </x:c>
      <x:c r="K14" s="2" t="e">
        <x:f>Reporting!#REF!</x:f>
        <x:v>#REF!</x:v>
      </x:c>
      <x:c r="L14" s="2" t="e">
        <x:f>Reporting!#REF!</x:f>
        <x:v>#REF!</x:v>
      </x:c>
      <x:c r="M14" s="2" t="e">
        <x:f>Reporting!#REF!</x:f>
        <x:v>#REF!</x:v>
      </x:c>
      <x:c r="N14" s="2" t="e">
        <x:f>Reporting!#REF!</x:f>
        <x:v>#REF!</x:v>
      </x:c>
    </x:row>
    <x:row r="15">
      <x:c r="A15" s="2" t="str">
        <x:f>Reporting!O7</x:f>
      </x:c>
      <x:c r="B15" s="2" t="n">
        <x:f>Reporting!P7</x:f>
        <x:v>0</x:v>
      </x:c>
      <x:c r="C15" s="2" t="n">
        <x:f>Reporting!A7</x:f>
        <x:v>0</x:v>
      </x:c>
      <x:c r="D15" s="2" t="n">
        <x:f>Reporting!L7</x:f>
        <x:v>0</x:v>
      </x:c>
      <x:c r="E15" s="2" t="str">
        <x:f>Reporting!D7</x:f>
      </x:c>
      <x:c r="F15" s="2" t="str">
        <x:f>Reporting!E7</x:f>
        <x:v>ACQUISITION</x:v>
      </x:c>
      <x:c r="G15" s="2" t="str">
        <x:f>Reporting!F7</x:f>
      </x:c>
      <x:c r="H15" s="2" t="n">
        <x:f>Reporting!G7</x:f>
        <x:v>0</x:v>
      </x:c>
      <x:c r="I15" s="2" t="n">
        <x:f>Reporting!C7</x:f>
        <x:v>0</x:v>
      </x:c>
      <x:c r="J15" s="2" t="n">
        <x:f>Reporting!I7</x:f>
        <x:v>0</x:v>
      </x:c>
      <x:c r="K15" s="2" t="str">
        <x:f>Reporting!Q7</x:f>
      </x:c>
      <x:c r="L15" s="2" t="n">
        <x:f>Reporting!R7</x:f>
        <x:v>0</x:v>
      </x:c>
      <x:c r="M15" s="2" t="str">
        <x:f>Reporting!H7</x:f>
      </x:c>
      <x:c r="N15" s="2" t="n">
        <x:f>Reporting!K7</x:f>
        <x:v>0</x:v>
      </x:c>
    </x:row>
    <x:row r="16">
      <x:c r="A16" s="2" t="str">
        <x:f>Reporting!O8</x:f>
        <x:v>Total</x:v>
      </x:c>
      <x:c r="B16" s="2" t="str">
        <x:f>Reporting!P8</x:f>
        <x:v>Livré</x:v>
      </x:c>
      <x:c r="C16" s="2" t="n">
        <x:f>Reporting!A8</x:f>
        <x:v>0</x:v>
      </x:c>
      <x:c r="D16" s="2" t="n">
        <x:f>Reporting!L8</x:f>
        <x:v>0</x:v>
      </x:c>
      <x:c r="E16" s="2" t="n">
        <x:f>Reporting!D8</x:f>
        <x:v>0</x:v>
      </x:c>
      <x:c r="F16" s="2" t="str">
        <x:f>Reporting!E8</x:f>
        <x:v>TOTAUX</x:v>
      </x:c>
      <x:c r="G16" s="2" t="str">
        <x:f>Reporting!F8</x:f>
        <x:v>Total</x:v>
      </x:c>
      <x:c r="H16" s="2" t="str">
        <x:f>Reporting!G8</x:f>
        <x:v>Livré</x:v>
      </x:c>
      <x:c r="I16" s="2" t="n">
        <x:f>Reporting!C8</x:f>
        <x:v>0</x:v>
      </x:c>
      <x:c r="J16" s="2" t="str">
        <x:f>Reporting!I8</x:f>
        <x:v>En cours</x:v>
      </x:c>
      <x:c r="K16" s="2" t="str">
        <x:f>Reporting!Q8</x:f>
      </x:c>
      <x:c r="L16" s="2" t="str">
        <x:f>Reporting!R8</x:f>
        <x:v>En cours</x:v>
      </x:c>
      <x:c r="M16" s="2" t="str">
        <x:f>Reporting!H8</x:f>
      </x:c>
      <x:c r="N16" s="2" t="str">
        <x:f>Reporting!K8</x:f>
        <x:v>A traiter</x:v>
      </x:c>
    </x:row>
    <x:row r="17">
      <x:c r="A17" s="2" t="str">
        <x:f>Reporting!O9</x:f>
        <x:v>Nbr flux</x:v>
      </x:c>
      <x:c r="B17" s="2" t="str">
        <x:f>Reporting!P9</x:f>
        <x:v>Nbr flux</x:v>
      </x:c>
      <x:c r="C17" s="2" t="n">
        <x:f>Reporting!A9</x:f>
        <x:v>0</x:v>
      </x:c>
      <x:c r="D17" s="2" t="str">
        <x:f>Reporting!L9</x:f>
        <x:v>id de flux</x:v>
      </x:c>
      <x:c r="E17" s="2" t="n">
        <x:f>Reporting!D9</x:f>
        <x:v>0</x:v>
      </x:c>
      <x:c r="F17" s="2" t="str">
        <x:f>Reporting!E9</x:f>
      </x:c>
      <x:c r="G17" s="2" t="str">
        <x:f>Reporting!F9</x:f>
        <x:v>Nbr flux</x:v>
      </x:c>
      <x:c r="H17" s="2" t="str">
        <x:f>Reporting!G9</x:f>
        <x:v>Nbr flux</x:v>
      </x:c>
      <x:c r="I17" s="2" t="n">
        <x:f>Reporting!C9</x:f>
        <x:v>0</x:v>
      </x:c>
      <x:c r="J17" s="2" t="str">
        <x:f>Reporting!I9</x:f>
        <x:v>Nbr flux</x:v>
      </x:c>
      <x:c r="K17" s="2" t="str">
        <x:f>Reporting!Q9</x:f>
        <x:v>id de flux</x:v>
      </x:c>
      <x:c r="L17" s="2" t="str">
        <x:f>Reporting!R9</x:f>
        <x:v>Nbr flux</x:v>
      </x:c>
      <x:c r="M17" s="2" t="str">
        <x:f>Reporting!H9</x:f>
        <x:v>id de flux</x:v>
      </x:c>
      <x:c r="N17" s="2" t="str">
        <x:f>Reporting!K9</x:f>
        <x:v>Nbr flux</x:v>
      </x:c>
    </x:row>
    <x:row r="18">
      <x:c r="A18" s="2" t="str">
        <x:f>Reporting!O10</x:f>
        <x:v>14</x:v>
      </x:c>
      <x:c r="B18" s="2" t="str">
        <x:f>Reporting!P10</x:f>
        <x:v>13</x:v>
      </x:c>
      <x:c r="C18" s="2" t="n">
        <x:f>Reporting!A10</x:f>
        <x:v>0</x:v>
      </x:c>
      <x:c r="D18" s="2" t="n">
        <x:f>Reporting!L10</x:f>
        <x:v>0</x:v>
      </x:c>
      <x:c r="E18" s="2" t="str">
        <x:f>Reporting!D10</x:f>
      </x:c>
      <x:c r="F18" s="2" t="n">
        <x:f>Reporting!E10</x:f>
        <x:v>0</x:v>
      </x:c>
      <x:c r="G18" s="2" t="str">
        <x:f>Reporting!F10</x:f>
        <x:v>20</x:v>
      </x:c>
      <x:c r="H18" s="2" t="str">
        <x:f>Reporting!G10</x:f>
        <x:v>19</x:v>
      </x:c>
      <x:c r="I18" s="2" t="n">
        <x:f>Reporting!C10</x:f>
        <x:v>0</x:v>
      </x:c>
      <x:c r="J18" s="2" t="str">
        <x:f>Reporting!I10</x:f>
        <x:v>1</x:v>
      </x:c>
      <x:c r="K18" s="2" t="str">
        <x:f>Reporting!Q10</x:f>
        <x:v>CMS4-001 v2.9
CMS-14_001 v1.5
CMS-14_002 v1.5
CMS20_001 v1.3.0
CMS37_001 v1.3.0 CMS-22 v1.2OA3-002 V1.3.0
CNT-EM6 V1.7 CNT-EM9 V1.7 CNT-EM15 V1.7 CNT-EM18 V1.7
DMS12-1 DMS12-2</x:v>
      </x:c>
      <x:c r="L18" s="2" t="str">
        <x:f>Reporting!R10</x:f>
        <x:v>0</x:v>
      </x:c>
      <x:c r="M18" s="2" t="str">
        <x:f>Reporting!H10</x:f>
        <x:v>MM4-1 � 5  v1.5.0
MM5-1 � 5  v0.1.1/V1.5.1
MM7 v0.1.1/V1.5.1
MM5-1 � 5 v1.5.0 OA5-2 v1.14
PC06-2 v1.10.0
PC07 v1.10.0</x:v>
      </x:c>
      <x:c r="N18" s="2" t="str">
        <x:f>Reporting!K10</x:f>
        <x:v>0</x:v>
      </x:c>
    </x:row>
    <x:row r="19">
      <x:c r="A19" s="2" t="str">
        <x:f>Reporting!O11</x:f>
      </x:c>
      <x:c r="B19" s="2" t="n">
        <x:f>Reporting!P11</x:f>
        <x:v>0</x:v>
      </x:c>
      <x:c r="C19" s="2" t="n">
        <x:f>Reporting!A11</x:f>
        <x:v>0</x:v>
      </x:c>
      <x:c r="D19" s="2" t="str">
        <x:f>Reporting!L11</x:f>
        <x:v>NON</x:v>
      </x:c>
      <x:c r="E19" s="2" t="str">
        <x:f>Reporting!D11</x:f>
      </x:c>
      <x:c r="F19" s="2" t="str">
        <x:f>Reporting!E11</x:f>
        <x:v>Arbitrage</x:v>
      </x:c>
      <x:c r="G19" s="2" t="str">
        <x:f>Reporting!F11</x:f>
      </x:c>
      <x:c r="H19" s="2" t="n">
        <x:f>Reporting!G11</x:f>
        <x:v>0</x:v>
      </x:c>
      <x:c r="I19" s="2" t="n">
        <x:f>Reporting!C11</x:f>
        <x:v>0</x:v>
      </x:c>
      <x:c r="J19" s="2" t="n">
        <x:f>Reporting!I11</x:f>
        <x:v>0</x:v>
      </x:c>
      <x:c r="K19" s="2" t="n">
        <x:f>Reporting!Q11</x:f>
        <x:v>0</x:v>
      </x:c>
      <x:c r="L19" s="2" t="n">
        <x:f>Reporting!R11</x:f>
        <x:v>0</x:v>
      </x:c>
      <x:c r="M19" s="2" t="n">
        <x:f>Reporting!H11</x:f>
        <x:v>0</x:v>
      </x:c>
      <x:c r="N19" s="2" t="n">
        <x:f>Reporting!K11</x:f>
        <x:v>0</x:v>
      </x:c>
    </x:row>
    <x:row r="20">
      <x:c r="A20" s="2" t="str">
        <x:f>Reporting!O12</x:f>
        <x:v>Version</x:v>
      </x:c>
      <x:c r="B20" s="2" t="str">
        <x:f>Reporting!P12</x:f>
        <x:v>Descritpion</x:v>
      </x:c>
      <x:c r="C20" s="2" t="n">
        <x:f>Reporting!A12</x:f>
        <x:v>0</x:v>
      </x:c>
      <x:c r="D20" s="2" t="n">
        <x:f>Reporting!L12</x:f>
        <x:v>0</x:v>
      </x:c>
      <x:c r="E20" s="2" t="n">
        <x:f>Reporting!D12</x:f>
        <x:v>0</x:v>
      </x:c>
      <x:c r="F20" s="2" t="str">
        <x:f>Reporting!E12</x:f>
        <x:v>Id flux</x:v>
      </x:c>
      <x:c r="G20" s="2" t="str">
        <x:f>Reporting!F12</x:f>
        <x:v>Version</x:v>
      </x:c>
      <x:c r="H20" s="2" t="str">
        <x:f>Reporting!G12</x:f>
        <x:v>Descritpion</x:v>
      </x:c>
      <x:c r="I20" s="2" t="n">
        <x:f>Reporting!C12</x:f>
        <x:v>0</x:v>
      </x:c>
      <x:c r="J20" s="2" t="n">
        <x:f>Reporting!I12</x:f>
        <x:v>0</x:v>
      </x:c>
      <x:c r="K20" s="2" t="n">
        <x:f>Reporting!Q12</x:f>
        <x:v>0</x:v>
      </x:c>
      <x:c r="L20" s="2" t="n">
        <x:f>Reporting!R12</x:f>
        <x:v>0</x:v>
      </x:c>
      <x:c r="M20" s="2" t="str">
        <x:f>Reporting!H12</x:f>
      </x:c>
      <x:c r="N20" s="2" t="n">
        <x:f>Reporting!K12</x:f>
        <x:v>0</x:v>
      </x:c>
    </x:row>
    <x:row r="21">
      <x:c r="A21" s="2" t="n">
        <x:f>Reporting!O13</x:f>
        <x:v>0</x:v>
      </x:c>
      <x:c r="B21" s="2" t="n">
        <x:f>Reporting!P13</x:f>
        <x:v>0</x:v>
      </x:c>
      <x:c r="C21" s="2" t="n">
        <x:f>Reporting!A13</x:f>
        <x:v>0</x:v>
      </x:c>
      <x:c r="D21" s="2" t="n">
        <x:f>Reporting!L13</x:f>
        <x:v>0</x:v>
      </x:c>
      <x:c r="E21" s="2" t="str">
        <x:f>Reporting!D13</x:f>
      </x:c>
      <x:c r="F21" s="2" t="n">
        <x:f>Reporting!E13</x:f>
        <x:v>0</x:v>
      </x:c>
      <x:c r="G21" s="2" t="n">
        <x:f>Reporting!F13</x:f>
        <x:v>0</x:v>
      </x:c>
      <x:c r="H21" s="2" t="n">
        <x:f>Reporting!G13</x:f>
        <x:v>0</x:v>
      </x:c>
      <x:c r="I21" s="2" t="n">
        <x:f>Reporting!C13</x:f>
        <x:v>0</x:v>
      </x:c>
      <x:c r="J21" s="2" t="str">
        <x:f>Reporting!I13</x:f>
        <x:v>Configuration des flux &amp; Déploiement</x:v>
      </x:c>
      <x:c r="K21" s="2" t="n">
        <x:f>Reporting!Q13</x:f>
        <x:v>0</x:v>
      </x:c>
      <x:c r="L21" s="2" t="n">
        <x:f>Reporting!R13</x:f>
        <x:v>0</x:v>
      </x:c>
      <x:c r="M21" s="2" t="n">
        <x:f>Reporting!H13</x:f>
        <x:v>0</x:v>
      </x:c>
      <x:c r="N21" s="2" t="n">
        <x:f>Reporting!K13</x:f>
        <x:v>0</x:v>
      </x:c>
    </x:row>
    <x:row r="22">
      <x:c r="A22" s="2" t="str">
        <x:f>Reporting!O14</x:f>
      </x:c>
      <x:c r="B22" s="2" t="n">
        <x:f>Reporting!P14</x:f>
        <x:v>0</x:v>
      </x:c>
      <x:c r="C22" s="2" t="n">
        <x:f>Reporting!A14</x:f>
        <x:v>0</x:v>
      </x:c>
      <x:c r="D22" s="2" t="n">
        <x:f>Reporting!L14</x:f>
        <x:v>0</x:v>
      </x:c>
      <x:c r="E22" s="2" t="str">
        <x:f>Reporting!D14</x:f>
      </x:c>
      <x:c r="F22" s="2" t="str">
        <x:f>Reporting!E14</x:f>
        <x:v>ACQUISITION</x:v>
      </x:c>
      <x:c r="G22" s="2" t="str">
        <x:f>Reporting!F14</x:f>
      </x:c>
      <x:c r="H22" s="2" t="n">
        <x:f>Reporting!G14</x:f>
        <x:v>0</x:v>
      </x:c>
      <x:c r="I22" s="2" t="n">
        <x:f>Reporting!C14</x:f>
        <x:v>0</x:v>
      </x:c>
      <x:c r="J22" s="2" t="n">
        <x:f>Reporting!I14</x:f>
        <x:v>0</x:v>
      </x:c>
      <x:c r="K22" s="2" t="str">
        <x:f>Reporting!Q14</x:f>
      </x:c>
      <x:c r="L22" s="2" t="n">
        <x:f>Reporting!R14</x:f>
        <x:v>0</x:v>
      </x:c>
      <x:c r="M22" s="2" t="str">
        <x:f>Reporting!H14</x:f>
      </x:c>
      <x:c r="N22" s="2" t="n">
        <x:f>Reporting!K14</x:f>
        <x:v>0</x:v>
      </x:c>
    </x:row>
    <x:row r="23">
      <x:c r="A23" s="2" t="str">
        <x:f>Reporting!O15</x:f>
        <x:v>Total</x:v>
      </x:c>
      <x:c r="B23" s="2" t="str">
        <x:f>Reporting!P15</x:f>
        <x:v>Livré</x:v>
      </x:c>
      <x:c r="C23" s="2" t="n">
        <x:f>Reporting!A15</x:f>
        <x:v>0</x:v>
      </x:c>
      <x:c r="D23" s="2" t="n">
        <x:f>Reporting!L15</x:f>
        <x:v>0</x:v>
      </x:c>
      <x:c r="E23" s="2" t="str">
        <x:f>Reporting!D15</x:f>
      </x:c>
      <x:c r="F23" s="2" t="str">
        <x:f>Reporting!E15</x:f>
        <x:v>TOTAUX</x:v>
      </x:c>
      <x:c r="G23" s="2" t="str">
        <x:f>Reporting!F15</x:f>
        <x:v>Total</x:v>
      </x:c>
      <x:c r="H23" s="2" t="str">
        <x:f>Reporting!G15</x:f>
        <x:v>Livré</x:v>
      </x:c>
      <x:c r="I23" s="2" t="n">
        <x:f>Reporting!C15</x:f>
        <x:v>0</x:v>
      </x:c>
      <x:c r="J23" s="2" t="str">
        <x:f>Reporting!I15</x:f>
        <x:v>En cours</x:v>
      </x:c>
      <x:c r="K23" s="2" t="str">
        <x:f>Reporting!Q15</x:f>
      </x:c>
      <x:c r="L23" s="2" t="str">
        <x:f>Reporting!R15</x:f>
        <x:v>En cours</x:v>
      </x:c>
      <x:c r="M23" s="2" t="str">
        <x:f>Reporting!H15</x:f>
      </x:c>
      <x:c r="N23" s="2" t="str">
        <x:f>Reporting!K15</x:f>
        <x:v>A traiter</x:v>
      </x:c>
    </x:row>
    <x:row r="24">
      <x:c r="A24" s="2" t="str">
        <x:f>Reporting!O16</x:f>
        <x:v>Nbr flux</x:v>
      </x:c>
      <x:c r="B24" s="2" t="str">
        <x:f>Reporting!P16</x:f>
        <x:v>Nbr flux</x:v>
      </x:c>
      <x:c r="C24" s="2" t="n">
        <x:f>Reporting!A16</x:f>
        <x:v>0</x:v>
      </x:c>
      <x:c r="D24" s="2" t="str">
        <x:f>Reporting!L16</x:f>
        <x:v>id de flux</x:v>
      </x:c>
      <x:c r="E24" s="2" t="str">
        <x:f>Reporting!D16</x:f>
      </x:c>
      <x:c r="F24" s="2" t="str">
        <x:f>Reporting!E16</x:f>
        <x:v>Env</x:v>
      </x:c>
      <x:c r="G24" s="2" t="str">
        <x:f>Reporting!F16</x:f>
        <x:v>Nbr flux</x:v>
      </x:c>
      <x:c r="H24" s="2" t="str">
        <x:f>Reporting!G16</x:f>
        <x:v>Nbr flux</x:v>
      </x:c>
      <x:c r="I24" s="2" t="n">
        <x:f>Reporting!C16</x:f>
        <x:v>0</x:v>
      </x:c>
      <x:c r="J24" s="2" t="str">
        <x:f>Reporting!I16</x:f>
        <x:v>Nbr flux</x:v>
      </x:c>
      <x:c r="K24" s="2" t="str">
        <x:f>Reporting!Q16</x:f>
        <x:v>id de flux</x:v>
      </x:c>
      <x:c r="L24" s="2" t="str">
        <x:f>Reporting!R16</x:f>
        <x:v>Nbr flux</x:v>
      </x:c>
      <x:c r="M24" s="2" t="str">
        <x:f>Reporting!H16</x:f>
        <x:v>id de flux</x:v>
      </x:c>
      <x:c r="N24" s="2" t="str">
        <x:f>Reporting!K16</x:f>
        <x:v>Nbr flux</x:v>
      </x:c>
    </x:row>
    <x:row r="25">
      <x:c r="A25" s="2" t="str">
        <x:f>Reporting!O17</x:f>
        <x:v>10</x:v>
      </x:c>
      <x:c r="B25" s="2" t="str">
        <x:f>Reporting!P17</x:f>
        <x:v>10</x:v>
      </x:c>
      <x:c r="C25" s="2" t="n">
        <x:f>Reporting!A17</x:f>
        <x:v>0</x:v>
      </x:c>
      <x:c r="D25" s="2" t="str">
        <x:f>Reporting!L17</x:f>
        <x:v>MM7 v1.5 (rollback)</x:v>
      </x:c>
      <x:c r="E25" s="2" t="str">
        <x:f>Reporting!D17</x:f>
      </x:c>
      <x:c r="F25" s="2" t="str">
        <x:f>Reporting!E17</x:f>
        <x:v>SIT</x:v>
      </x:c>
      <x:c r="G25" s="2" t="str">
        <x:f>Reporting!F17</x:f>
        <x:v>15</x:v>
      </x:c>
      <x:c r="H25" s="2" t="str">
        <x:f>Reporting!G17</x:f>
        <x:v>14</x:v>
      </x:c>
      <x:c r="I25" s="2" t="n">
        <x:f>Reporting!C17</x:f>
        <x:v>0</x:v>
      </x:c>
      <x:c r="J25" s="2" t="str">
        <x:f>Reporting!I17</x:f>
        <x:v>0</x:v>
      </x:c>
      <x:c r="K25" s="2" t="str">
        <x:f>Reporting!Q17</x:f>
        <x:v>CMS14_001v1.5 CMS14_002v1.5
CMS4_001 v2.9 CMS-22 v1.3OA3_002v1.3 CNT-EM6 V1.7
CNT-EM9 V1.7
CNT-EM15 V1.7
CNT-EM18 V1.7</x:v>
      </x:c>
      <x:c r="L25" s="2" t="str">
        <x:f>Reporting!R17</x:f>
        <x:v>0</x:v>
      </x:c>
      <x:c r="M25" s="2" t="str">
        <x:f>Reporting!H17</x:f>
        <x:v>MM7 v1.5
MM4-1 � 5 v1.5
MM5-1 � 5 v1.5OA5-2 v1.14.0
PC06-2
PC07</x:v>
      </x:c>
      <x:c r="N25" s="2" t="str">
        <x:f>Reporting!K17</x:f>
        <x:v>1</x:v>
      </x:c>
    </x:row>
    <x:row r="26">
      <x:c r="A26" s="2" t="str">
        <x:f>Reporting!O18</x:f>
        <x:v>10</x:v>
      </x:c>
      <x:c r="B26" s="2" t="str">
        <x:f>Reporting!P18</x:f>
        <x:v>10</x:v>
      </x:c>
      <x:c r="C26" s="2" t="n">
        <x:f>Reporting!A18</x:f>
        <x:v>0</x:v>
      </x:c>
      <x:c r="D26" s="2" t="n">
        <x:f>Reporting!L18</x:f>
        <x:v>0</x:v>
      </x:c>
      <x:c r="E26" s="2" t="str">
        <x:f>Reporting!D18</x:f>
      </x:c>
      <x:c r="F26" s="2" t="str">
        <x:f>Reporting!E18</x:f>
        <x:v>UAT</x:v>
      </x:c>
      <x:c r="G26" s="2" t="str">
        <x:f>Reporting!F18</x:f>
        <x:v>14</x:v>
      </x:c>
      <x:c r="H26" s="2" t="str">
        <x:f>Reporting!G18</x:f>
        <x:v>14</x:v>
      </x:c>
      <x:c r="I26" s="2" t="n">
        <x:f>Reporting!C18</x:f>
        <x:v>0</x:v>
      </x:c>
      <x:c r="J26" s="2" t="str">
        <x:f>Reporting!I18</x:f>
        <x:v>0</x:v>
      </x:c>
      <x:c r="K26" s="2" t="str">
        <x:f>Reporting!Q18</x:f>
        <x:v>CMS14_001v1.5 CMS14_002v1.5
CMS4_001 v2.9 CMS-22 v1.3
OA3_002v1.3
CNT-EM6 V1.7
CNT-EM9 V1.7
CNT-EM15 V1.7
CNT-EM18 V1.7</x:v>
      </x:c>
      <x:c r="L26" s="2" t="str">
        <x:f>Reporting!R18</x:f>
        <x:v>0</x:v>
      </x:c>
      <x:c r="M26" s="2" t="str">
        <x:f>Reporting!H18</x:f>
        <x:v>MM7 v1.5
MM4-1 � 5 v1.5
MM5-1 � 5 v1.5OA5-2 v1.14.0
PC06-2
PC07</x:v>
      </x:c>
      <x:c r="N26" s="2" t="str">
        <x:f>Reporting!K18</x:f>
        <x:v>0</x:v>
      </x:c>
    </x:row>
    <x:row r="27">
      <x:c r="A27" s="2" t="str">
        <x:f>Reporting!O19</x:f>
      </x:c>
      <x:c r="B27" s="2" t="n">
        <x:f>Reporting!P19</x:f>
        <x:v>0</x:v>
      </x:c>
      <x:c r="C27" s="2" t="n">
        <x:f>Reporting!A19</x:f>
        <x:v>0</x:v>
      </x:c>
      <x:c r="D27" s="2" t="str">
        <x:f>Reporting!L19</x:f>
        <x:v>NON</x:v>
      </x:c>
      <x:c r="E27" s="2" t="str">
        <x:f>Reporting!D19</x:f>
      </x:c>
      <x:c r="F27" s="2" t="str">
        <x:f>Reporting!E19</x:f>
        <x:v>Arbitrage</x:v>
      </x:c>
      <x:c r="G27" s="2" t="str">
        <x:f>Reporting!F19</x:f>
      </x:c>
      <x:c r="H27" s="2" t="n">
        <x:f>Reporting!G19</x:f>
        <x:v>0</x:v>
      </x:c>
      <x:c r="I27" s="2" t="n">
        <x:f>Reporting!C19</x:f>
        <x:v>0</x:v>
      </x:c>
      <x:c r="J27" s="2" t="n">
        <x:f>Reporting!I19</x:f>
        <x:v>0</x:v>
      </x:c>
      <x:c r="K27" s="2" t="n">
        <x:f>Reporting!Q19</x:f>
        <x:v>0</x:v>
      </x:c>
      <x:c r="L27" s="2" t="n">
        <x:f>Reporting!R19</x:f>
        <x:v>0</x:v>
      </x:c>
      <x:c r="M27" s="2" t="n">
        <x:f>Reporting!H19</x:f>
        <x:v>0</x:v>
      </x:c>
      <x:c r="N27" s="2" t="n">
        <x:f>Reporting!K19</x:f>
        <x:v>0</x:v>
      </x:c>
    </x:row>
    <x:row r="28">
      <x:c r="A28" s="2" t="str">
        <x:f>Reporting!O20</x:f>
        <x:v>Version</x:v>
      </x:c>
      <x:c r="B28" s="2" t="str">
        <x:f>Reporting!P20</x:f>
        <x:v>Descritpion</x:v>
      </x:c>
      <x:c r="C28" s="2" t="n">
        <x:f>Reporting!A20</x:f>
        <x:v>0</x:v>
      </x:c>
      <x:c r="D28" s="2" t="n">
        <x:f>Reporting!L20</x:f>
        <x:v>0</x:v>
      </x:c>
      <x:c r="E28" s="2" t="n">
        <x:f>Reporting!D20</x:f>
        <x:v>0</x:v>
      </x:c>
      <x:c r="F28" s="2" t="str">
        <x:f>Reporting!E20</x:f>
        <x:v>Id flux</x:v>
      </x:c>
      <x:c r="G28" s="2" t="str">
        <x:f>Reporting!F20</x:f>
        <x:v>Version</x:v>
      </x:c>
      <x:c r="H28" s="2" t="str">
        <x:f>Reporting!G20</x:f>
        <x:v>Descritpion</x:v>
      </x:c>
      <x:c r="I28" s="2" t="n">
        <x:f>Reporting!C20</x:f>
        <x:v>0</x:v>
      </x:c>
      <x:c r="J28" s="2" t="n">
        <x:f>Reporting!I20</x:f>
        <x:v>0</x:v>
      </x:c>
      <x:c r="K28" s="2" t="n">
        <x:f>Reporting!Q20</x:f>
        <x:v>0</x:v>
      </x:c>
      <x:c r="L28" s="2" t="n">
        <x:f>Reporting!R20</x:f>
        <x:v>0</x:v>
      </x:c>
      <x:c r="M28" s="2" t="n">
        <x:f>Reporting!H20</x:f>
        <x:v>0</x:v>
      </x:c>
      <x:c r="N28" s="2" t="n">
        <x:f>Reporting!K20</x:f>
        <x:v>0</x:v>
      </x:c>
    </x:row>
    <x:row r="29">
      <x:c r="A29" s="2" t="n">
        <x:f>Reporting!O21</x:f>
        <x:v>0</x:v>
      </x:c>
      <x:c r="B29" s="2" t="n">
        <x:f>Reporting!P21</x:f>
        <x:v>0</x:v>
      </x:c>
      <x:c r="C29" s="2" t="n">
        <x:f>Reporting!A21</x:f>
        <x:v>0</x:v>
      </x:c>
      <x:c r="D29" s="2" t="n">
        <x:f>Reporting!L21</x:f>
        <x:v>0</x:v>
      </x:c>
      <x:c r="E29" s="2" t="n">
        <x:f>Reporting!D21</x:f>
        <x:v>0</x:v>
      </x:c>
      <x:c r="F29" s="2" t="n">
        <x:f>Reporting!E21</x:f>
        <x:v>0</x:v>
      </x:c>
      <x:c r="G29" s="2" t="n">
        <x:f>Reporting!F21</x:f>
        <x:v>0</x:v>
      </x:c>
      <x:c r="H29" s="2" t="str">
        <x:f>Reporting!G21</x:f>
      </x:c>
      <x:c r="I29" s="2" t="n">
        <x:f>Reporting!C21</x:f>
        <x:v>0</x:v>
      </x:c>
      <x:c r="J29" s="2" t="n">
        <x:f>Reporting!I21</x:f>
        <x:v>0</x:v>
      </x:c>
      <x:c r="K29" s="2" t="n">
        <x:f>Reporting!Q21</x:f>
        <x:v>0</x:v>
      </x:c>
      <x:c r="L29" s="2" t="n">
        <x:f>Reporting!R21</x:f>
        <x:v>0</x:v>
      </x:c>
      <x:c r="M29" s="2" t="str">
        <x:f>Reporting!H21</x:f>
        <x:v>Chaine de valeur service</x:v>
      </x:c>
      <x:c r="N29" s="2" t="n">
        <x:f>Reporting!K21</x:f>
        <x:v>0</x:v>
      </x:c>
    </x:row>
    <x:row r="30">
      <x:c r="A30" s="2" t="str">
        <x:f>Reporting!O22</x:f>
      </x:c>
      <x:c r="B30" s="2" t="n">
        <x:f>Reporting!P22</x:f>
        <x:v>0</x:v>
      </x:c>
      <x:c r="C30" s="2" t="n">
        <x:f>Reporting!A22</x:f>
        <x:v>0</x:v>
      </x:c>
      <x:c r="D30" s="2" t="n">
        <x:f>Reporting!L22</x:f>
        <x:v>0</x:v>
      </x:c>
      <x:c r="E30" s="2" t="n">
        <x:f>Reporting!D22</x:f>
        <x:v>0</x:v>
      </x:c>
      <x:c r="F30" s="2" t="n">
        <x:f>Reporting!E22</x:f>
        <x:v>0</x:v>
      </x:c>
      <x:c r="G30" s="2" t="n">
        <x:f>Reporting!F22</x:f>
        <x:v>0</x:v>
      </x:c>
      <x:c r="H30" s="2" t="str">
        <x:f>Reporting!G22</x:f>
      </x:c>
      <x:c r="I30" s="2" t="n">
        <x:f>Reporting!C22</x:f>
        <x:v>0</x:v>
      </x:c>
      <x:c r="J30" s="2" t="str">
        <x:f>Reporting!I22</x:f>
      </x:c>
      <x:c r="K30" s="2" t="n">
        <x:f>Reporting!Q22</x:f>
        <x:v>0</x:v>
      </x:c>
      <x:c r="L30" s="2" t="n">
        <x:f>Reporting!R22</x:f>
        <x:v>0</x:v>
      </x:c>
      <x:c r="M30" s="2" t="str">
        <x:f>Reporting!H22</x:f>
        <x:v>ACQUISITION</x:v>
      </x:c>
      <x:c r="N30" s="2" t="n">
        <x:f>Reporting!K22</x:f>
        <x:v>0</x:v>
      </x:c>
    </x:row>
    <x:row r="31">
      <x:c r="A31" s="2" t="str">
        <x:f>Reporting!O23</x:f>
      </x:c>
      <x:c r="B31" s="2" t="str">
        <x:f>Reporting!P23</x:f>
        <x:v>Mise à disposition par environnement</x:v>
      </x:c>
      <x:c r="C31" s="2" t="n">
        <x:f>Reporting!A23</x:f>
        <x:v>0</x:v>
      </x:c>
      <x:c r="D31" s="2" t="n">
        <x:f>Reporting!L23</x:f>
        <x:v>0</x:v>
      </x:c>
      <x:c r="E31" s="2" t="n">
        <x:f>Reporting!D23</x:f>
        <x:v>0</x:v>
      </x:c>
      <x:c r="F31" s="2" t="n">
        <x:f>Reporting!E23</x:f>
        <x:v>0</x:v>
      </x:c>
      <x:c r="G31" s="2" t="n">
        <x:f>Reporting!F23</x:f>
        <x:v>0</x:v>
      </x:c>
      <x:c r="H31" s="2" t="str">
        <x:f>Reporting!G23</x:f>
      </x:c>
      <x:c r="I31" s="2" t="n">
        <x:f>Reporting!C23</x:f>
        <x:v>0</x:v>
      </x:c>
      <x:c r="J31" s="2" t="str">
        <x:f>Reporting!I23</x:f>
      </x:c>
      <x:c r="K31" s="2" t="str">
        <x:f>Reporting!Q23</x:f>
      </x:c>
      <x:c r="L31" s="2" t="n">
        <x:f>Reporting!R23</x:f>
        <x:v>0</x:v>
      </x:c>
      <x:c r="M31" s="2" t="str">
        <x:f>Reporting!H23</x:f>
        <x:v>TOTAUX</x:v>
      </x:c>
      <x:c r="N31" s="2" t="str">
        <x:f>Reporting!K23</x:f>
      </x:c>
    </x:row>
    <x:row r="32">
      <x:c r="A32" s="2" t="str">
        <x:f>Reporting!O24</x:f>
      </x:c>
      <x:c r="B32" s="2" t="str">
        <x:f>Reporting!P24</x:f>
        <x:v>Dev</x:v>
      </x:c>
      <x:c r="C32" s="2" t="n">
        <x:f>Reporting!A24</x:f>
        <x:v>0</x:v>
      </x:c>
      <x:c r="D32" s="2" t="str">
        <x:f>Reporting!L24</x:f>
        <x:v>UAT</x:v>
      </x:c>
      <x:c r="E32" s="2" t="n">
        <x:f>Reporting!D24</x:f>
        <x:v>0</x:v>
      </x:c>
      <x:c r="F32" s="2" t="n">
        <x:f>Reporting!E24</x:f>
        <x:v>0</x:v>
      </x:c>
      <x:c r="G32" s="2" t="n">
        <x:f>Reporting!F24</x:f>
        <x:v>0</x:v>
      </x:c>
      <x:c r="H32" s="2" t="str">
        <x:f>Reporting!G24</x:f>
      </x:c>
      <x:c r="I32" s="2" t="n">
        <x:f>Reporting!C24</x:f>
        <x:v>0</x:v>
      </x:c>
      <x:c r="J32" s="2" t="str">
        <x:f>Reporting!I24</x:f>
      </x:c>
      <x:c r="K32" s="2" t="str">
        <x:f>Reporting!Q24</x:f>
        <x:v>SIT</x:v>
      </x:c>
      <x:c r="L32" s="2" t="str">
        <x:f>Reporting!R24</x:f>
        <x:v>UAT</x:v>
      </x:c>
      <x:c r="M32" s="2" t="str">
        <x:f>Reporting!H24</x:f>
        <x:v>Services</x:v>
      </x:c>
      <x:c r="N32" s="2" t="str">
        <x:f>Reporting!K24</x:f>
        <x:v>SIT</x:v>
      </x:c>
    </x:row>
    <x:row r="33">
      <x:c r="A33" s="2" t="str">
        <x:f>Reporting!O25</x:f>
        <x:v>File to File</x:v>
      </x:c>
      <x:c r="B33" s="2" t="str">
        <x:f>Reporting!P25</x:f>
        <x:v>x</x:v>
      </x:c>
      <x:c r="C33" s="2" t="n">
        <x:f>Reporting!A25</x:f>
        <x:v>0</x:v>
      </x:c>
      <x:c r="D33" s="2" t="n">
        <x:f>Reporting!L25</x:f>
        <x:v>0</x:v>
      </x:c>
      <x:c r="E33" s="2" t="n">
        <x:f>Reporting!D25</x:f>
        <x:v>0</x:v>
      </x:c>
      <x:c r="F33" s="2" t="n">
        <x:f>Reporting!E25</x:f>
        <x:v>0</x:v>
      </x:c>
      <x:c r="G33" s="2" t="n">
        <x:f>Reporting!F25</x:f>
        <x:v>0</x:v>
      </x:c>
      <x:c r="H33" s="2" t="n">
        <x:f>Reporting!G25</x:f>
        <x:v>0</x:v>
      </x:c>
      <x:c r="I33" s="2" t="n">
        <x:f>Reporting!C25</x:f>
        <x:v>0</x:v>
      </x:c>
      <x:c r="J33" s="2" t="str">
        <x:f>Reporting!I25</x:f>
        <x:v>File to File</x:v>
      </x:c>
      <x:c r="K33" s="2" t="n">
        <x:f>Reporting!Q25</x:f>
        <x:v>0</x:v>
      </x:c>
      <x:c r="L33" s="2" t="n">
        <x:f>Reporting!R25</x:f>
        <x:v>0</x:v>
      </x:c>
      <x:c r="M33" s="2" t="str">
        <x:f>Reporting!H25</x:f>
        <x:v>Tranfert</x:v>
      </x:c>
      <x:c r="N33" s="2" t="n">
        <x:f>Reporting!K25</x:f>
        <x:v>0</x:v>
      </x:c>
    </x:row>
    <x:row r="34">
      <x:c r="A34" s="2" t="str">
        <x:f>Reporting!O26</x:f>
        <x:v>File to Event</x:v>
      </x:c>
      <x:c r="B34" s="2" t="str">
        <x:f>Reporting!P26</x:f>
      </x:c>
      <x:c r="C34" s="2" t="n">
        <x:f>Reporting!A26</x:f>
        <x:v>0</x:v>
      </x:c>
      <x:c r="D34" s="2" t="n">
        <x:f>Reporting!L26</x:f>
        <x:v>0</x:v>
      </x:c>
      <x:c r="E34" s="2" t="n">
        <x:f>Reporting!D26</x:f>
        <x:v>0</x:v>
      </x:c>
      <x:c r="F34" s="2" t="n">
        <x:f>Reporting!E26</x:f>
        <x:v>0</x:v>
      </x:c>
      <x:c r="G34" s="2" t="n">
        <x:f>Reporting!F26</x:f>
        <x:v>0</x:v>
      </x:c>
      <x:c r="H34" s="2" t="n">
        <x:f>Reporting!G26</x:f>
        <x:v>0</x:v>
      </x:c>
      <x:c r="I34" s="2" t="n">
        <x:f>Reporting!C26</x:f>
        <x:v>0</x:v>
      </x:c>
      <x:c r="J34" s="2" t="str">
        <x:f>Reporting!I26</x:f>
        <x:v>File to Event</x:v>
      </x:c>
      <x:c r="K34" s="2" t="str">
        <x:f>Reporting!Q26</x:f>
      </x:c>
      <x:c r="L34" s="2" t="n">
        <x:f>Reporting!R26</x:f>
        <x:v>0</x:v>
      </x:c>
      <x:c r="M34" s="2" t="str">
        <x:f>Reporting!H26</x:f>
      </x:c>
      <x:c r="N34" s="2" t="str">
        <x:f>Reporting!K26</x:f>
      </x:c>
    </x:row>
    <x:row r="35">
      <x:c r="A35" s="2" t="str">
        <x:f>Reporting!O27</x:f>
        <x:v>API to API</x:v>
      </x:c>
      <x:c r="B35" s="2" t="str">
        <x:f>Reporting!P27</x:f>
        <x:v>x</x:v>
      </x:c>
      <x:c r="C35" s="2" t="n">
        <x:f>Reporting!A27</x:f>
        <x:v>0</x:v>
      </x:c>
      <x:c r="D35" s="2" t="str">
        <x:f>Reporting!L27</x:f>
        <x:v>x</x:v>
      </x:c>
      <x:c r="E35" s="2" t="n">
        <x:f>Reporting!D27</x:f>
        <x:v>0</x:v>
      </x:c>
      <x:c r="F35" s="2" t="n">
        <x:f>Reporting!E27</x:f>
        <x:v>0</x:v>
      </x:c>
      <x:c r="G35" s="2" t="n">
        <x:f>Reporting!F27</x:f>
        <x:v>0</x:v>
      </x:c>
      <x:c r="H35" s="2" t="n">
        <x:f>Reporting!G27</x:f>
        <x:v>0</x:v>
      </x:c>
      <x:c r="I35" s="2" t="n">
        <x:f>Reporting!C27</x:f>
        <x:v>0</x:v>
      </x:c>
      <x:c r="J35" s="2" t="str">
        <x:f>Reporting!I27</x:f>
        <x:v>API to API</x:v>
      </x:c>
      <x:c r="K35" s="2" t="str">
        <x:f>Reporting!Q27</x:f>
        <x:v>x</x:v>
      </x:c>
      <x:c r="L35" s="2" t="str">
        <x:f>Reporting!R27</x:f>
        <x:v>x</x:v>
      </x:c>
      <x:c r="M35" s="2" t="str">
        <x:f>Reporting!H27</x:f>
      </x:c>
      <x:c r="N35" s="2" t="str">
        <x:f>Reporting!K27</x:f>
        <x:v>x</x:v>
      </x:c>
    </x:row>
    <x:row r="36">
      <x:c r="A36" s="2" t="str">
        <x:f>Reporting!O28</x:f>
        <x:v>API to Event</x:v>
      </x:c>
      <x:c r="B36" s="2" t="str">
        <x:f>Reporting!P28</x:f>
        <x:v>x</x:v>
      </x:c>
      <x:c r="C36" s="2" t="n">
        <x:f>Reporting!A28</x:f>
        <x:v>0</x:v>
      </x:c>
      <x:c r="D36" s="2" t="str">
        <x:f>Reporting!L28</x:f>
        <x:v>x</x:v>
      </x:c>
      <x:c r="E36" s="2" t="n">
        <x:f>Reporting!D28</x:f>
        <x:v>0</x:v>
      </x:c>
      <x:c r="F36" s="2" t="n">
        <x:f>Reporting!E28</x:f>
        <x:v>0</x:v>
      </x:c>
      <x:c r="G36" s="2" t="n">
        <x:f>Reporting!F28</x:f>
        <x:v>0</x:v>
      </x:c>
      <x:c r="H36" s="2" t="n">
        <x:f>Reporting!G28</x:f>
        <x:v>0</x:v>
      </x:c>
      <x:c r="I36" s="2" t="n">
        <x:f>Reporting!C28</x:f>
        <x:v>0</x:v>
      </x:c>
      <x:c r="J36" s="2" t="str">
        <x:f>Reporting!I28</x:f>
        <x:v>API to Event</x:v>
      </x:c>
      <x:c r="K36" s="2" t="str">
        <x:f>Reporting!Q28</x:f>
        <x:v>x</x:v>
      </x:c>
      <x:c r="L36" s="2" t="str">
        <x:f>Reporting!R28</x:f>
        <x:v>x</x:v>
      </x:c>
      <x:c r="M36" s="2" t="str">
        <x:f>Reporting!H28</x:f>
      </x:c>
      <x:c r="N36" s="2" t="str">
        <x:f>Reporting!K28</x:f>
        <x:v>x</x:v>
      </x:c>
    </x:row>
    <x:row r="37">
      <x:c r="A37" s="2" t="str">
        <x:f>Reporting!O29</x:f>
        <x:v>Orchestration GED</x:v>
      </x:c>
      <x:c r="B37" s="2" t="str">
        <x:f>Reporting!P29</x:f>
        <x:v>x</x:v>
      </x:c>
      <x:c r="C37" s="2" t="n">
        <x:f>Reporting!A29</x:f>
        <x:v>0</x:v>
      </x:c>
      <x:c r="D37" s="2" t="n">
        <x:f>Reporting!L29</x:f>
        <x:v>0</x:v>
      </x:c>
      <x:c r="E37" s="2" t="n">
        <x:f>Reporting!D29</x:f>
        <x:v>0</x:v>
      </x:c>
      <x:c r="F37" s="2" t="n">
        <x:f>Reporting!E29</x:f>
        <x:v>0</x:v>
      </x:c>
      <x:c r="G37" s="2" t="n">
        <x:f>Reporting!F29</x:f>
        <x:v>0</x:v>
      </x:c>
      <x:c r="H37" s="2" t="n">
        <x:f>Reporting!G29</x:f>
        <x:v>0</x:v>
      </x:c>
      <x:c r="I37" s="2" t="n">
        <x:f>Reporting!C29</x:f>
        <x:v>0</x:v>
      </x:c>
      <x:c r="J37" s="2" t="str">
        <x:f>Reporting!I29</x:f>
        <x:v>Orchestration GED</x:v>
      </x:c>
      <x:c r="K37" s="2" t="str">
        <x:f>Reporting!Q29</x:f>
      </x:c>
      <x:c r="L37" s="2" t="n">
        <x:f>Reporting!R29</x:f>
        <x:v>0</x:v>
      </x:c>
      <x:c r="M37" s="2" t="str">
        <x:f>Reporting!H29</x:f>
      </x:c>
      <x:c r="N37" s="2" t="str">
        <x:f>Reporting!K29</x:f>
      </x:c>
    </x:row>
    <x:row r="38" ht="28.799999237060547">
      <x:c r="A38" s="2" t="str">
        <x:f>Reporting!O30</x:f>
        <x:v>Authentification M2M</x:v>
      </x:c>
      <x:c r="B38" s="2" t="str">
        <x:f>Reporting!P30</x:f>
        <x:v>x</x:v>
      </x:c>
      <x:c r="C38" s="2" t="n">
        <x:f>Reporting!A30</x:f>
        <x:v>0</x:v>
      </x:c>
      <x:c r="D38" s="2" t="str">
        <x:f>Reporting!L30</x:f>
        <x:v>x</x:v>
      </x:c>
      <x:c r="E38" s="2" t="n">
        <x:f>Reporting!D30</x:f>
        <x:v>0</x:v>
      </x:c>
      <x:c r="F38" s="2" t="n">
        <x:f>Reporting!E30</x:f>
        <x:v>0</x:v>
      </x:c>
      <x:c r="G38" s="2" t="n">
        <x:f>Reporting!F30</x:f>
        <x:v>0</x:v>
      </x:c>
      <x:c r="H38" s="2" t="str">
        <x:f>Reporting!G30</x:f>
      </x:c>
      <x:c r="I38" s="2" t="n">
        <x:f>Reporting!C30</x:f>
        <x:v>0</x:v>
      </x:c>
      <x:c r="J38" s="2" t="str">
        <x:f>Reporting!I30</x:f>
        <x:v>Authentification M2M</x:v>
      </x:c>
      <x:c r="K38" s="2" t="str">
        <x:f>Reporting!Q30</x:f>
        <x:v>x</x:v>
      </x:c>
      <x:c r="L38" s="2" t="str">
        <x:f>Reporting!R30</x:f>
        <x:v>x</x:v>
      </x:c>
      <x:c r="M38" s="2" t="str">
        <x:f>Reporting!H30</x:f>
      </x:c>
      <x:c r="N38" s="2" t="str">
        <x:f>Reporting!K30</x:f>
        <x:v>x</x:v>
      </x:c>
    </x:row>
    <x:row r="39" ht="28.799999237060547">
      <x:c r="A39" s="2" t="str">
        <x:f>Reporting!O31</x:f>
        <x:v>Aliasing</x:v>
      </x:c>
      <x:c r="B39" s="2" t="str">
        <x:f>Reporting!P31</x:f>
        <x:v>x</x:v>
      </x:c>
      <x:c r="C39" s="2" t="n">
        <x:f>Reporting!A31</x:f>
        <x:v>0</x:v>
      </x:c>
      <x:c r="D39" s="2" t="n">
        <x:f>Reporting!L31</x:f>
        <x:v>0</x:v>
      </x:c>
      <x:c r="E39" s="2" t="n">
        <x:f>Reporting!D31</x:f>
        <x:v>0</x:v>
      </x:c>
      <x:c r="F39" s="2" t="n">
        <x:f>Reporting!E31</x:f>
        <x:v>0</x:v>
      </x:c>
      <x:c r="G39" s="2" t="n">
        <x:f>Reporting!F31</x:f>
        <x:v>0</x:v>
      </x:c>
      <x:c r="H39" s="2" t="n">
        <x:f>Reporting!G31</x:f>
        <x:v>0</x:v>
      </x:c>
      <x:c r="I39" s="2" t="n">
        <x:f>Reporting!C31</x:f>
        <x:v>0</x:v>
      </x:c>
      <x:c r="J39" s="2" t="str">
        <x:f>Reporting!I31</x:f>
        <x:v>Aliasing</x:v>
      </x:c>
      <x:c r="K39" s="2" t="n">
        <x:f>Reporting!Q31</x:f>
        <x:v>0</x:v>
      </x:c>
      <x:c r="L39" s="2" t="n">
        <x:f>Reporting!R31</x:f>
        <x:v>0</x:v>
      </x:c>
      <x:c r="M39" s="2" t="str">
        <x:f>Reporting!H31</x:f>
        <x:v>Trasnformation</x:v>
      </x:c>
      <x:c r="N39" s="2" t="n">
        <x:f>Reporting!K31</x:f>
        <x:v>0</x:v>
      </x:c>
    </x:row>
    <x:row r="40" ht="28.799999237060547">
      <x:c r="A40" s="2" t="str">
        <x:f>Reporting!O32</x:f>
        <x:v>Appel Crypto-Service</x:v>
      </x:c>
      <x:c r="B40" s="2" t="n">
        <x:f>Reporting!P32</x:f>
        <x:v>0</x:v>
      </x:c>
      <x:c r="C40" s="2" t="n">
        <x:f>Reporting!A32</x:f>
        <x:v>0</x:v>
      </x:c>
      <x:c r="D40" s="2" t="n">
        <x:f>Reporting!L32</x:f>
        <x:v>0</x:v>
      </x:c>
      <x:c r="E40" s="2" t="n">
        <x:f>Reporting!D32</x:f>
        <x:v>0</x:v>
      </x:c>
      <x:c r="F40" s="2" t="n">
        <x:f>Reporting!E32</x:f>
        <x:v>0</x:v>
      </x:c>
      <x:c r="G40" s="2" t="n">
        <x:f>Reporting!F32</x:f>
        <x:v>0</x:v>
      </x:c>
      <x:c r="H40" s="2" t="n">
        <x:f>Reporting!G32</x:f>
        <x:v>0</x:v>
      </x:c>
      <x:c r="I40" s="2" t="str">
        <x:f>Reporting!C32</x:f>
      </x:c>
      <x:c r="J40" s="2" t="str">
        <x:f>Reporting!I32</x:f>
        <x:v>Appel Crypto-Service</x:v>
      </x:c>
      <x:c r="K40" s="2" t="n">
        <x:f>Reporting!Q32</x:f>
        <x:v>0</x:v>
      </x:c>
      <x:c r="L40" s="2" t="n">
        <x:f>Reporting!R32</x:f>
        <x:v>0</x:v>
      </x:c>
      <x:c r="M40" s="2" t="n">
        <x:f>Reporting!H32</x:f>
        <x:v>0</x:v>
      </x:c>
      <x:c r="N40" s="2" t="n">
        <x:f>Reporting!K32</x:f>
        <x:v>0</x:v>
      </x:c>
    </x:row>
    <x:row r="41" ht="28.799999237060547">
      <x:c r="A41" s="2" t="n">
        <x:f>Reporting!O33</x:f>
        <x:v>0</x:v>
      </x:c>
      <x:c r="B41" s="2" t="n">
        <x:f>Reporting!P33</x:f>
        <x:v>0</x:v>
      </x:c>
      <x:c r="C41" s="2" t="n">
        <x:f>Reporting!A33</x:f>
        <x:v>0</x:v>
      </x:c>
      <x:c r="D41" s="2" t="n">
        <x:f>Reporting!L33</x:f>
        <x:v>0</x:v>
      </x:c>
      <x:c r="E41" s="2" t="str">
        <x:f>Reporting!D33</x:f>
        <x:v>Phase 2 : Connectivité d'arrimage Estreem/SI Entité via GIL</x:v>
      </x:c>
      <x:c r="F41" s="2" t="n">
        <x:f>Reporting!E33</x:f>
        <x:v>0</x:v>
      </x:c>
      <x:c r="G41" s="2" t="n">
        <x:f>Reporting!F33</x:f>
        <x:v>0</x:v>
      </x:c>
      <x:c r="H41" s="2" t="n">
        <x:f>Reporting!G33</x:f>
        <x:v>0</x:v>
      </x:c>
      <x:c r="I41" s="2" t="n">
        <x:f>Reporting!C33</x:f>
        <x:v>0</x:v>
      </x:c>
      <x:c r="J41" s="2" t="n">
        <x:f>Reporting!I33</x:f>
        <x:v>0</x:v>
      </x:c>
      <x:c r="K41" s="2" t="n">
        <x:f>Reporting!Q33</x:f>
        <x:v>0</x:v>
      </x:c>
      <x:c r="L41" s="2" t="n">
        <x:f>Reporting!R33</x:f>
        <x:v>0</x:v>
      </x:c>
      <x:c r="M41" s="2" t="n">
        <x:f>Reporting!H33</x:f>
        <x:v>0</x:v>
      </x:c>
      <x:c r="N41" s="2" t="n">
        <x:f>Reporting!K33</x:f>
        <x:v>0</x:v>
      </x:c>
    </x:row>
    <x:row r="42" ht="28.799999237060547">
      <x:c r="A42" s="2" t="n">
        <x:f>Reporting!O34</x:f>
        <x:v>0</x:v>
      </x:c>
      <x:c r="B42" s="2" t="str">
        <x:f>Reporting!P34</x:f>
      </x:c>
      <x:c r="C42" s="2" t="n">
        <x:f>Reporting!A34</x:f>
        <x:v>0</x:v>
      </x:c>
      <x:c r="D42" s="2" t="n">
        <x:f>Reporting!L34</x:f>
        <x:v>0</x:v>
      </x:c>
      <x:c r="E42" s="2" t="str">
        <x:f>Reporting!D34</x:f>
      </x:c>
      <x:c r="F42" s="2" t="str">
        <x:f>Reporting!E34</x:f>
        <x:v>ACQUISITION</x:v>
      </x:c>
      <x:c r="G42" s="2" t="n">
        <x:f>Reporting!F34</x:f>
        <x:v>0</x:v>
      </x:c>
      <x:c r="H42" s="2" t="str">
        <x:f>Reporting!G34</x:f>
      </x:c>
      <x:c r="I42" s="2" t="n">
        <x:f>Reporting!C34</x:f>
        <x:v>0</x:v>
      </x:c>
      <x:c r="J42" s="2" t="n">
        <x:f>Reporting!I34</x:f>
        <x:v>0</x:v>
      </x:c>
      <x:c r="K42" s="2" t="str">
        <x:f>Reporting!Q34</x:f>
      </x:c>
      <x:c r="L42" s="2" t="n">
        <x:f>Reporting!R34</x:f>
        <x:v>0</x:v>
      </x:c>
      <x:c r="M42" s="2" t="str">
        <x:f>Reporting!H34</x:f>
      </x:c>
      <x:c r="N42" s="2" t="n">
        <x:f>Reporting!K34</x:f>
        <x:v>0</x:v>
      </x:c>
    </x:row>
    <x:row r="43">
      <x:c r="A43" s="2" t="str">
        <x:f>Reporting!O35</x:f>
        <x:v>Caractéristique</x:v>
      </x:c>
      <x:c r="B43" s="2" t="str">
        <x:f>Reporting!P35</x:f>
      </x:c>
      <x:c r="C43" s="2" t="n">
        <x:f>Reporting!A35</x:f>
        <x:v>0</x:v>
      </x:c>
      <x:c r="D43" s="2" t="n">
        <x:f>Reporting!L35</x:f>
        <x:v>0</x:v>
      </x:c>
      <x:c r="E43" s="2" t="str">
        <x:f>Reporting!D35</x:f>
      </x:c>
      <x:c r="F43" s="2" t="str">
        <x:f>Reporting!E35</x:f>
        <x:v>TOTAUX</x:v>
      </x:c>
      <x:c r="G43" s="2" t="str">
        <x:f>Reporting!F35</x:f>
        <x:v>Caractéristique</x:v>
      </x:c>
      <x:c r="H43" s="2" t="str">
        <x:f>Reporting!G35</x:f>
      </x:c>
      <x:c r="I43" s="2" t="n">
        <x:f>Reporting!C35</x:f>
        <x:v>0</x:v>
      </x:c>
      <x:c r="J43" s="2" t="str">
        <x:f>Reporting!I35</x:f>
        <x:v>Trait�</x:v>
      </x:c>
      <x:c r="K43" s="2" t="str">
        <x:f>Reporting!Q35</x:f>
        <x:v>Total</x:v>
      </x:c>
      <x:c r="L43" s="2" t="str">
        <x:f>Reporting!R35</x:f>
        <x:v>Trait�</x:v>
      </x:c>
      <x:c r="M43" s="2" t="str">
        <x:f>Reporting!H35</x:f>
        <x:v>Total</x:v>
      </x:c>
      <x:c r="N43" s="2" t="str">
        <x:f>Reporting!K35</x:f>
        <x:v>En cours</x:v>
      </x:c>
    </x:row>
    <x:row r="44">
      <x:c r="A44" s="2" t="str">
        <x:f>Reporting!O36</x:f>
        <x:v>Pattern</x:v>
      </x:c>
      <x:c r="B44" s="2" t="str">
        <x:f>Reporting!P36</x:f>
        <x:v>Sens</x:v>
      </x:c>
      <x:c r="C44" s="2" t="n">
        <x:f>Reporting!A36</x:f>
        <x:v>0</x:v>
      </x:c>
      <x:c r="D44" s="2" t="str">
        <x:f>Reporting!L36</x:f>
        <x:v>Id de flux</x:v>
      </x:c>
      <x:c r="E44" s="2" t="str">
        <x:f>Reporting!D36</x:f>
      </x:c>
      <x:c r="F44" s="2" t="str">
        <x:f>Reporting!E36</x:f>
        <x:v>Env</x:v>
      </x:c>
      <x:c r="G44" s="2" t="str">
        <x:f>Reporting!F36</x:f>
        <x:v>Pattern</x:v>
      </x:c>
      <x:c r="H44" s="2" t="str">
        <x:f>Reporting!G36</x:f>
        <x:v>Sens</x:v>
      </x:c>
      <x:c r="I44" s="2" t="n">
        <x:f>Reporting!C36</x:f>
        <x:v>0</x:v>
      </x:c>
      <x:c r="J44" s="2" t="str">
        <x:f>Reporting!I36</x:f>
        <x:v>Nbr flux</x:v>
      </x:c>
      <x:c r="K44" s="2" t="str">
        <x:f>Reporting!Q36</x:f>
        <x:v>Nbr flux</x:v>
      </x:c>
      <x:c r="L44" s="2" t="str">
        <x:f>Reporting!R36</x:f>
        <x:v>Nbr flux</x:v>
      </x:c>
      <x:c r="M44" s="2" t="str">
        <x:f>Reporting!H36</x:f>
        <x:v>Nbr flux</x:v>
      </x:c>
      <x:c r="N44" s="2" t="str">
        <x:f>Reporting!K36</x:f>
        <x:v>Nbr flux</x:v>
      </x:c>
    </x:row>
    <x:row r="45">
      <x:c r="A45" s="2" t="str">
        <x:f>Reporting!O37</x:f>
        <x:v>API to API</x:v>
      </x:c>
      <x:c r="B45" s="2" t="str">
        <x:f>Reporting!P37</x:f>
        <x:v>BNPP-&gt;Estreem</x:v>
      </x:c>
      <x:c r="C45" s="2" t="n">
        <x:f>Reporting!A37</x:f>
        <x:v>0</x:v>
      </x:c>
      <x:c r="D45" s="2" t="n">
        <x:f>Reporting!L37</x:f>
        <x:v>0</x:v>
      </x:c>
      <x:c r="E45" s="2" t="n">
        <x:f>Reporting!D37</x:f>
        <x:v>0</x:v>
      </x:c>
      <x:c r="F45" s="2" t="str">
        <x:f>Reporting!E37</x:f>
        <x:v>SIT</x:v>
      </x:c>
      <x:c r="G45" s="2" t="str">
        <x:f>Reporting!F37</x:f>
        <x:v>API to API</x:v>
      </x:c>
      <x:c r="H45" s="2" t="str">
        <x:f>Reporting!G37</x:f>
        <x:v>BNPP-&gt;Estreem</x:v>
      </x:c>
      <x:c r="I45" s="2" t="n">
        <x:f>Reporting!C37</x:f>
        <x:v>0</x:v>
      </x:c>
      <x:c r="J45" s="2" t="str">
        <x:f>Reporting!I37</x:f>
        <x:v>1</x:v>
      </x:c>
      <x:c r="K45" s="2" t="str">
        <x:f>Reporting!Q37</x:f>
        <x:v>0</x:v>
      </x:c>
      <x:c r="L45" s="2" t="str">
        <x:f>Reporting!R37</x:f>
        <x:v>0</x:v>
      </x:c>
      <x:c r="M45" s="2" t="str">
        <x:f>Reporting!H37</x:f>
        <x:v>1</x:v>
      </x:c>
      <x:c r="N45" s="2" t="str">
        <x:f>Reporting!K37</x:f>
        <x:v>0</x:v>
      </x:c>
    </x:row>
    <x:row r="46">
      <x:c r="A46" s="2" t="str">
        <x:f>Reporting!O38</x:f>
      </x:c>
      <x:c r="B46" s="2" t="str">
        <x:f>Reporting!P38</x:f>
        <x:v>Estreem-&gt;BNPP</x:v>
      </x:c>
      <x:c r="C46" s="2" t="n">
        <x:f>Reporting!A38</x:f>
        <x:v>0</x:v>
      </x:c>
      <x:c r="D46" s="2" t="n">
        <x:f>Reporting!L38</x:f>
        <x:v>0</x:v>
      </x:c>
      <x:c r="E46" s="2" t="n">
        <x:f>Reporting!D38</x:f>
        <x:v>0</x:v>
      </x:c>
      <x:c r="F46" s="2" t="str">
        <x:f>Reporting!E38</x:f>
      </x:c>
      <x:c r="G46" s="2" t="str">
        <x:f>Reporting!F38</x:f>
      </x:c>
      <x:c r="H46" s="2" t="str">
        <x:f>Reporting!G38</x:f>
        <x:v>Estreem-&gt;BNPP</x:v>
      </x:c>
      <x:c r="I46" s="2" t="n">
        <x:f>Reporting!C38</x:f>
        <x:v>0</x:v>
      </x:c>
      <x:c r="J46" s="2" t="str">
        <x:f>Reporting!I38</x:f>
        <x:v>0</x:v>
      </x:c>
      <x:c r="K46" s="2" t="str">
        <x:f>Reporting!Q38</x:f>
        <x:v>0</x:v>
      </x:c>
      <x:c r="L46" s="2" t="str">
        <x:f>Reporting!R38</x:f>
        <x:v>0</x:v>
      </x:c>
      <x:c r="M46" s="2" t="str">
        <x:f>Reporting!H38</x:f>
        <x:v>0</x:v>
      </x:c>
      <x:c r="N46" s="2" t="str">
        <x:f>Reporting!K38</x:f>
        <x:v>0</x:v>
      </x:c>
    </x:row>
    <x:row r="47">
      <x:c r="A47" s="2" t="str">
        <x:f>Reporting!O39</x:f>
        <x:v>API to Event</x:v>
      </x:c>
      <x:c r="B47" s="2" t="str">
        <x:f>Reporting!P39</x:f>
        <x:v>BNPP-&gt;Estreem</x:v>
      </x:c>
      <x:c r="C47" s="2" t="n">
        <x:f>Reporting!A39</x:f>
        <x:v>0</x:v>
      </x:c>
      <x:c r="D47" s="2" t="str">
        <x:f>Reporting!L39</x:f>
        <x:v>N/A</x:v>
      </x:c>
      <x:c r="E47" s="2" t="n">
        <x:f>Reporting!D39</x:f>
        <x:v>0</x:v>
      </x:c>
      <x:c r="F47" s="2" t="n">
        <x:f>Reporting!E39</x:f>
        <x:v>0</x:v>
      </x:c>
      <x:c r="G47" s="2" t="str">
        <x:f>Reporting!F39</x:f>
        <x:v>API to Event</x:v>
      </x:c>
      <x:c r="H47" s="2" t="str">
        <x:f>Reporting!G39</x:f>
        <x:v>BNPP-&gt;Estreem</x:v>
      </x:c>
      <x:c r="I47" s="2" t="n">
        <x:f>Reporting!C39</x:f>
        <x:v>0</x:v>
      </x:c>
      <x:c r="J47" s="2" t="str">
        <x:f>Reporting!I39</x:f>
        <x:v>N/A</x:v>
      </x:c>
      <x:c r="K47" s="2" t="str">
        <x:f>Reporting!Q39</x:f>
        <x:v>N/A</x:v>
      </x:c>
      <x:c r="L47" s="2" t="str">
        <x:f>Reporting!R39</x:f>
        <x:v>N/A</x:v>
      </x:c>
      <x:c r="M47" s="2" t="str">
        <x:f>Reporting!H39</x:f>
        <x:v>N/A</x:v>
      </x:c>
      <x:c r="N47" s="2" t="str">
        <x:f>Reporting!K39</x:f>
        <x:v>N/A</x:v>
      </x:c>
    </x:row>
    <x:row r="48">
      <x:c r="A48" s="2" t="str">
        <x:f>Reporting!O40</x:f>
      </x:c>
      <x:c r="B48" s="2" t="str">
        <x:f>Reporting!P40</x:f>
        <x:v>Estreem-&gt;BNPP</x:v>
      </x:c>
      <x:c r="C48" s="2" t="n">
        <x:f>Reporting!A40</x:f>
        <x:v>0</x:v>
      </x:c>
      <x:c r="D48" s="2" t="str">
        <x:f>Reporting!L40</x:f>
        <x:v>OA5-2 v1.14 (Data scole)</x:v>
      </x:c>
      <x:c r="E48" s="2" t="n">
        <x:f>Reporting!D40</x:f>
        <x:v>0</x:v>
      </x:c>
      <x:c r="F48" s="2" t="str">
        <x:f>Reporting!E40</x:f>
      </x:c>
      <x:c r="G48" s="2" t="str">
        <x:f>Reporting!F40</x:f>
      </x:c>
      <x:c r="H48" s="2" t="str">
        <x:f>Reporting!G40</x:f>
        <x:v>Estreem-&gt;BNPP</x:v>
      </x:c>
      <x:c r="I48" s="2" t="n">
        <x:f>Reporting!C40</x:f>
        <x:v>0</x:v>
      </x:c>
      <x:c r="J48" s="2" t="str">
        <x:f>Reporting!I40</x:f>
        <x:v>2</x:v>
      </x:c>
      <x:c r="K48" s="2" t="str">
        <x:f>Reporting!Q40</x:f>
        <x:v>6</x:v>
      </x:c>
      <x:c r="L48" s="2" t="str">
        <x:f>Reporting!R40</x:f>
        <x:v>6</x:v>
      </x:c>
      <x:c r="M48" s="2" t="str">
        <x:f>Reporting!H40</x:f>
        <x:v>3</x:v>
      </x:c>
      <x:c r="N48" s="2" t="str">
        <x:f>Reporting!K40</x:f>
        <x:v>5</x:v>
      </x:c>
    </x:row>
    <x:row r="49">
      <x:c r="A49" s="2" t="str">
        <x:f>Reporting!O41</x:f>
        <x:v>File to File</x:v>
      </x:c>
      <x:c r="B49" s="2" t="str">
        <x:f>Reporting!P41</x:f>
        <x:v>BNPP-&gt;Estreem</x:v>
      </x:c>
      <x:c r="C49" s="2" t="n">
        <x:f>Reporting!A41</x:f>
        <x:v>0</x:v>
      </x:c>
      <x:c r="D49" s="2" t="n">
        <x:f>Reporting!L41</x:f>
        <x:v>0</x:v>
      </x:c>
      <x:c r="E49" s="2" t="n">
        <x:f>Reporting!D41</x:f>
        <x:v>0</x:v>
      </x:c>
      <x:c r="F49" s="2" t="n">
        <x:f>Reporting!E41</x:f>
        <x:v>0</x:v>
      </x:c>
      <x:c r="G49" s="2" t="str">
        <x:f>Reporting!F41</x:f>
        <x:v>File to File</x:v>
      </x:c>
      <x:c r="H49" s="2" t="str">
        <x:f>Reporting!G41</x:f>
        <x:v>BNPP-&gt;Estreem</x:v>
      </x:c>
      <x:c r="I49" s="2" t="n">
        <x:f>Reporting!C41</x:f>
        <x:v>0</x:v>
      </x:c>
      <x:c r="J49" s="2" t="str">
        <x:f>Reporting!I41</x:f>
        <x:v>0</x:v>
      </x:c>
      <x:c r="K49" s="2" t="str">
        <x:f>Reporting!Q41</x:f>
        <x:v>0</x:v>
      </x:c>
      <x:c r="L49" s="2" t="str">
        <x:f>Reporting!R41</x:f>
        <x:v>0</x:v>
      </x:c>
      <x:c r="M49" s="2" t="str">
        <x:f>Reporting!H41</x:f>
        <x:v>0</x:v>
      </x:c>
      <x:c r="N49" s="2" t="str">
        <x:f>Reporting!K41</x:f>
        <x:v>0</x:v>
      </x:c>
    </x:row>
    <x:row r="50">
      <x:c r="A50" s="2" t="str">
        <x:f>Reporting!O42</x:f>
      </x:c>
      <x:c r="B50" s="2" t="str">
        <x:f>Reporting!P42</x:f>
        <x:v>Estreem-&gt;BNPP</x:v>
      </x:c>
      <x:c r="C50" s="2" t="n">
        <x:f>Reporting!A42</x:f>
        <x:v>0</x:v>
      </x:c>
      <x:c r="D50" s="2" t="n">
        <x:f>Reporting!L42</x:f>
        <x:v>0</x:v>
      </x:c>
      <x:c r="E50" s="2" t="n">
        <x:f>Reporting!D42</x:f>
        <x:v>0</x:v>
      </x:c>
      <x:c r="F50" s="2" t="str">
        <x:f>Reporting!E42</x:f>
      </x:c>
      <x:c r="G50" s="2" t="str">
        <x:f>Reporting!F42</x:f>
      </x:c>
      <x:c r="H50" s="2" t="str">
        <x:f>Reporting!G42</x:f>
        <x:v>Estreem-&gt;BNPP</x:v>
      </x:c>
      <x:c r="I50" s="2" t="n">
        <x:f>Reporting!C42</x:f>
        <x:v>0</x:v>
      </x:c>
      <x:c r="J50" s="2" t="str">
        <x:f>Reporting!I42</x:f>
        <x:v>0</x:v>
      </x:c>
      <x:c r="K50" s="2" t="str">
        <x:f>Reporting!Q42</x:f>
        <x:v>0</x:v>
      </x:c>
      <x:c r="L50" s="2" t="str">
        <x:f>Reporting!R42</x:f>
        <x:v>0</x:v>
      </x:c>
      <x:c r="M50" s="2" t="str">
        <x:f>Reporting!H42</x:f>
        <x:v>0</x:v>
      </x:c>
      <x:c r="N50" s="2" t="str">
        <x:f>Reporting!K42</x:f>
        <x:v>0</x:v>
      </x:c>
    </x:row>
    <x:row r="51">
      <x:c r="A51" s="2" t="str">
        <x:f>Reporting!O43</x:f>
        <x:v>File to Event</x:v>
      </x:c>
      <x:c r="B51" s="2" t="str">
        <x:f>Reporting!P43</x:f>
        <x:v>BNPP-&gt;Estreem</x:v>
      </x:c>
      <x:c r="C51" s="2" t="n">
        <x:f>Reporting!A43</x:f>
        <x:v>0</x:v>
      </x:c>
      <x:c r="D51" s="2" t="str">
        <x:f>Reporting!L43</x:f>
        <x:v>N/A</x:v>
      </x:c>
      <x:c r="E51" s="2" t="n">
        <x:f>Reporting!D43</x:f>
        <x:v>0</x:v>
      </x:c>
      <x:c r="F51" s="2" t="n">
        <x:f>Reporting!E43</x:f>
        <x:v>0</x:v>
      </x:c>
      <x:c r="G51" s="2" t="str">
        <x:f>Reporting!F43</x:f>
        <x:v>File to Event</x:v>
      </x:c>
      <x:c r="H51" s="2" t="str">
        <x:f>Reporting!G43</x:f>
        <x:v>BNPP-&gt;Estreem</x:v>
      </x:c>
      <x:c r="I51" s="2" t="n">
        <x:f>Reporting!C43</x:f>
        <x:v>0</x:v>
      </x:c>
      <x:c r="J51" s="2" t="str">
        <x:f>Reporting!I43</x:f>
        <x:v>N/A</x:v>
      </x:c>
      <x:c r="K51" s="2" t="str">
        <x:f>Reporting!Q43</x:f>
        <x:v>N/A</x:v>
      </x:c>
      <x:c r="L51" s="2" t="str">
        <x:f>Reporting!R43</x:f>
        <x:v>N/A</x:v>
      </x:c>
      <x:c r="M51" s="2" t="str">
        <x:f>Reporting!H43</x:f>
        <x:v>N/A</x:v>
      </x:c>
      <x:c r="N51" s="2" t="str">
        <x:f>Reporting!K43</x:f>
        <x:v>N/A</x:v>
      </x:c>
    </x:row>
    <x:row r="52">
      <x:c r="A52" s="2" t="str">
        <x:f>Reporting!O44</x:f>
      </x:c>
      <x:c r="B52" s="2" t="str">
        <x:f>Reporting!P44</x:f>
        <x:v>Estreem-&gt;BNPP</x:v>
      </x:c>
      <x:c r="C52" s="2" t="n">
        <x:f>Reporting!A44</x:f>
        <x:v>0</x:v>
      </x:c>
      <x:c r="D52" s="2" t="n">
        <x:f>Reporting!L44</x:f>
        <x:v>0</x:v>
      </x:c>
      <x:c r="E52" s="2" t="n">
        <x:f>Reporting!D44</x:f>
        <x:v>0</x:v>
      </x:c>
      <x:c r="F52" s="2" t="str">
        <x:f>Reporting!E44</x:f>
      </x:c>
      <x:c r="G52" s="2" t="str">
        <x:f>Reporting!F44</x:f>
      </x:c>
      <x:c r="H52" s="2" t="str">
        <x:f>Reporting!G44</x:f>
        <x:v>Estreem-&gt;BNPP</x:v>
      </x:c>
      <x:c r="I52" s="2" t="n">
        <x:f>Reporting!C44</x:f>
        <x:v>0</x:v>
      </x:c>
      <x:c r="J52" s="2" t="str">
        <x:f>Reporting!I44</x:f>
        <x:v>0</x:v>
      </x:c>
      <x:c r="K52" s="2" t="str">
        <x:f>Reporting!Q44</x:f>
        <x:v>0</x:v>
      </x:c>
      <x:c r="L52" s="2" t="str">
        <x:f>Reporting!R44</x:f>
        <x:v>0</x:v>
      </x:c>
      <x:c r="M52" s="2" t="str">
        <x:f>Reporting!H44</x:f>
        <x:v>0</x:v>
      </x:c>
      <x:c r="N52" s="2" t="str">
        <x:f>Reporting!K44</x:f>
        <x:v>0</x:v>
      </x:c>
    </x:row>
    <x:row r="53">
      <x:c r="A53" s="2" t="str">
        <x:f>Reporting!O45</x:f>
        <x:v>GED</x:v>
      </x:c>
      <x:c r="B53" s="2" t="str">
        <x:f>Reporting!P45</x:f>
        <x:v>BNPP-&gt;Estreem</x:v>
      </x:c>
      <x:c r="C53" s="2" t="n">
        <x:f>Reporting!A45</x:f>
        <x:v>0</x:v>
      </x:c>
      <x:c r="D53" s="2" t="n">
        <x:f>Reporting!L45</x:f>
        <x:v>0</x:v>
      </x:c>
      <x:c r="E53" s="2" t="n">
        <x:f>Reporting!D45</x:f>
        <x:v>0</x:v>
      </x:c>
      <x:c r="F53" s="2" t="n">
        <x:f>Reporting!E45</x:f>
        <x:v>0</x:v>
      </x:c>
      <x:c r="G53" s="2" t="str">
        <x:f>Reporting!F45</x:f>
        <x:v>GED</x:v>
      </x:c>
      <x:c r="H53" s="2" t="str">
        <x:f>Reporting!G45</x:f>
        <x:v>BNPP-&gt;Estreem</x:v>
      </x:c>
      <x:c r="I53" s="2" t="n">
        <x:f>Reporting!C45</x:f>
        <x:v>0</x:v>
      </x:c>
      <x:c r="J53" s="2" t="str">
        <x:f>Reporting!I45</x:f>
        <x:v>0</x:v>
      </x:c>
      <x:c r="K53" s="2" t="str">
        <x:f>Reporting!Q45</x:f>
        <x:v>0</x:v>
      </x:c>
      <x:c r="L53" s="2" t="str">
        <x:f>Reporting!R45</x:f>
        <x:v>0</x:v>
      </x:c>
      <x:c r="M53" s="2" t="str">
        <x:f>Reporting!H45</x:f>
        <x:v>0</x:v>
      </x:c>
      <x:c r="N53" s="2" t="str">
        <x:f>Reporting!K45</x:f>
        <x:v>0</x:v>
      </x:c>
    </x:row>
    <x:row r="54">
      <x:c r="A54" s="2" t="str">
        <x:f>Reporting!O46</x:f>
      </x:c>
      <x:c r="B54" s="2" t="str">
        <x:f>Reporting!P46</x:f>
        <x:v>Estreem-&gt;BNPP</x:v>
      </x:c>
      <x:c r="C54" s="2" t="n">
        <x:f>Reporting!A46</x:f>
        <x:v>0</x:v>
      </x:c>
      <x:c r="D54" s="2" t="n">
        <x:f>Reporting!L46</x:f>
        <x:v>0</x:v>
      </x:c>
      <x:c r="E54" s="2" t="str">
        <x:f>Reporting!D46</x:f>
      </x:c>
      <x:c r="F54" s="2" t="str">
        <x:f>Reporting!E46</x:f>
      </x:c>
      <x:c r="G54" s="2" t="str">
        <x:f>Reporting!F46</x:f>
      </x:c>
      <x:c r="H54" s="2" t="str">
        <x:f>Reporting!G46</x:f>
        <x:v>Estreem-&gt;BNPP</x:v>
      </x:c>
      <x:c r="I54" s="2" t="n">
        <x:f>Reporting!C46</x:f>
        <x:v>0</x:v>
      </x:c>
      <x:c r="J54" s="2" t="str">
        <x:f>Reporting!I46</x:f>
        <x:v>0</x:v>
      </x:c>
      <x:c r="K54" s="2" t="str">
        <x:f>Reporting!Q46</x:f>
        <x:v>0</x:v>
      </x:c>
      <x:c r="L54" s="2" t="str">
        <x:f>Reporting!R46</x:f>
        <x:v>0</x:v>
      </x:c>
      <x:c r="M54" s="2" t="str">
        <x:f>Reporting!H46</x:f>
        <x:v>0</x:v>
      </x:c>
      <x:c r="N54" s="2" t="str">
        <x:f>Reporting!K46</x:f>
        <x:v>0</x:v>
      </x:c>
    </x:row>
    <x:row r="55">
      <x:c r="A55" s="2" t="str">
        <x:f>Reporting!O47</x:f>
        <x:v>API to API</x:v>
      </x:c>
      <x:c r="B55" s="2" t="str">
        <x:f>Reporting!P47</x:f>
        <x:v>BNPP-&gt;Estreem</x:v>
      </x:c>
      <x:c r="C55" s="2" t="n">
        <x:f>Reporting!A47</x:f>
        <x:v>0</x:v>
      </x:c>
      <x:c r="D55" s="2" t="n">
        <x:f>Reporting!L47</x:f>
        <x:v>0</x:v>
      </x:c>
      <x:c r="E55" s="2" t="n">
        <x:f>Reporting!D47</x:f>
        <x:v>0</x:v>
      </x:c>
      <x:c r="F55" s="2" t="str">
        <x:f>Reporting!E47</x:f>
        <x:v>UAT</x:v>
      </x:c>
      <x:c r="G55" s="2" t="str">
        <x:f>Reporting!F47</x:f>
        <x:v>API to API</x:v>
      </x:c>
      <x:c r="H55" s="2" t="str">
        <x:f>Reporting!G47</x:f>
        <x:v>BNPP-&gt;Estreem</x:v>
      </x:c>
      <x:c r="I55" s="2" t="n">
        <x:f>Reporting!C47</x:f>
        <x:v>0</x:v>
      </x:c>
      <x:c r="J55" s="2" t="str">
        <x:f>Reporting!I47</x:f>
        <x:v>0</x:v>
      </x:c>
      <x:c r="K55" s="2" t="str">
        <x:f>Reporting!Q47</x:f>
        <x:v>0</x:v>
      </x:c>
      <x:c r="L55" s="2" t="str">
        <x:f>Reporting!R47</x:f>
        <x:v>0</x:v>
      </x:c>
      <x:c r="M55" s="2" t="str">
        <x:f>Reporting!H47</x:f>
        <x:v>0</x:v>
      </x:c>
      <x:c r="N55" s="2" t="str">
        <x:f>Reporting!K47</x:f>
        <x:v>0</x:v>
      </x:c>
    </x:row>
    <x:row r="56">
      <x:c r="A56" s="2" t="str">
        <x:f>Reporting!O48</x:f>
      </x:c>
      <x:c r="B56" s="2" t="str">
        <x:f>Reporting!P48</x:f>
        <x:v>Estreem-&gt;BNPP</x:v>
      </x:c>
      <x:c r="C56" s="2" t="n">
        <x:f>Reporting!A48</x:f>
        <x:v>0</x:v>
      </x:c>
      <x:c r="D56" s="2" t="n">
        <x:f>Reporting!L48</x:f>
        <x:v>0</x:v>
      </x:c>
      <x:c r="E56" s="2" t="n">
        <x:f>Reporting!D48</x:f>
        <x:v>0</x:v>
      </x:c>
      <x:c r="F56" s="2" t="str">
        <x:f>Reporting!E48</x:f>
      </x:c>
      <x:c r="G56" s="2" t="str">
        <x:f>Reporting!F48</x:f>
      </x:c>
      <x:c r="H56" s="2" t="str">
        <x:f>Reporting!G48</x:f>
        <x:v>Estreem-&gt;BNPP</x:v>
      </x:c>
      <x:c r="I56" s="2" t="n">
        <x:f>Reporting!C48</x:f>
        <x:v>0</x:v>
      </x:c>
      <x:c r="J56" s="2" t="str">
        <x:f>Reporting!I48</x:f>
        <x:v>0</x:v>
      </x:c>
      <x:c r="K56" s="2" t="str">
        <x:f>Reporting!Q48</x:f>
        <x:v>0</x:v>
      </x:c>
      <x:c r="L56" s="2" t="str">
        <x:f>Reporting!R48</x:f>
        <x:v>0</x:v>
      </x:c>
      <x:c r="M56" s="2" t="str">
        <x:f>Reporting!H48</x:f>
        <x:v>0</x:v>
      </x:c>
      <x:c r="N56" s="2" t="str">
        <x:f>Reporting!K48</x:f>
        <x:v>0</x:v>
      </x:c>
    </x:row>
    <x:row r="57">
      <x:c r="A57" s="2" t="str">
        <x:f>Reporting!O49</x:f>
        <x:v>API to Event</x:v>
      </x:c>
      <x:c r="B57" s="2" t="str">
        <x:f>Reporting!P49</x:f>
        <x:v>BNPP-&gt;Estreem</x:v>
      </x:c>
      <x:c r="C57" s="2" t="n">
        <x:f>Reporting!A49</x:f>
        <x:v>0</x:v>
      </x:c>
      <x:c r="D57" s="2" t="str">
        <x:f>Reporting!L49</x:f>
        <x:v>N/A</x:v>
      </x:c>
      <x:c r="E57" s="2" t="n">
        <x:f>Reporting!D49</x:f>
        <x:v>0</x:v>
      </x:c>
      <x:c r="F57" s="2" t="n">
        <x:f>Reporting!E49</x:f>
        <x:v>0</x:v>
      </x:c>
      <x:c r="G57" s="2" t="str">
        <x:f>Reporting!F49</x:f>
        <x:v>API to Event</x:v>
      </x:c>
      <x:c r="H57" s="2" t="str">
        <x:f>Reporting!G49</x:f>
        <x:v>BNPP-&gt;Estreem</x:v>
      </x:c>
      <x:c r="I57" s="2" t="n">
        <x:f>Reporting!C49</x:f>
        <x:v>0</x:v>
      </x:c>
      <x:c r="J57" s="2" t="str">
        <x:f>Reporting!I49</x:f>
        <x:v>N/A</x:v>
      </x:c>
      <x:c r="K57" s="2" t="str">
        <x:f>Reporting!Q49</x:f>
        <x:v>N/A</x:v>
      </x:c>
      <x:c r="L57" s="2" t="str">
        <x:f>Reporting!R49</x:f>
        <x:v>N/A</x:v>
      </x:c>
      <x:c r="M57" s="2" t="str">
        <x:f>Reporting!H49</x:f>
        <x:v>N/A</x:v>
      </x:c>
      <x:c r="N57" s="2" t="str">
        <x:f>Reporting!K49</x:f>
        <x:v>N/A</x:v>
      </x:c>
    </x:row>
    <x:row r="58">
      <x:c r="A58" s="2" t="str">
        <x:f>Reporting!O50</x:f>
      </x:c>
      <x:c r="B58" s="2" t="str">
        <x:f>Reporting!P50</x:f>
        <x:v>Estreem-&gt;BNPP</x:v>
      </x:c>
      <x:c r="C58" s="2" t="n">
        <x:f>Reporting!A50</x:f>
        <x:v>0</x:v>
      </x:c>
      <x:c r="D58" s="2" t="n">
        <x:f>Reporting!L50</x:f>
        <x:v>0</x:v>
      </x:c>
      <x:c r="E58" s="2" t="n">
        <x:f>Reporting!D50</x:f>
        <x:v>0</x:v>
      </x:c>
      <x:c r="F58" s="2" t="str">
        <x:f>Reporting!E50</x:f>
      </x:c>
      <x:c r="G58" s="2" t="str">
        <x:f>Reporting!F50</x:f>
      </x:c>
      <x:c r="H58" s="2" t="str">
        <x:f>Reporting!G50</x:f>
        <x:v>Estreem-&gt;BNPP</x:v>
      </x:c>
      <x:c r="I58" s="2" t="n">
        <x:f>Reporting!C50</x:f>
        <x:v>0</x:v>
      </x:c>
      <x:c r="J58" s="2" t="str">
        <x:f>Reporting!I50</x:f>
        <x:v>0</x:v>
      </x:c>
      <x:c r="K58" s="2" t="str">
        <x:f>Reporting!Q50</x:f>
        <x:v>0</x:v>
      </x:c>
      <x:c r="L58" s="2" t="str">
        <x:f>Reporting!R50</x:f>
        <x:v>0</x:v>
      </x:c>
      <x:c r="M58" s="2" t="str">
        <x:f>Reporting!H50</x:f>
        <x:v>0</x:v>
      </x:c>
      <x:c r="N58" s="2" t="str">
        <x:f>Reporting!K50</x:f>
        <x:v>0</x:v>
      </x:c>
    </x:row>
    <x:row r="59">
      <x:c r="A59" s="2" t="str">
        <x:f>Reporting!O51</x:f>
        <x:v>File to File</x:v>
      </x:c>
      <x:c r="B59" s="2" t="str">
        <x:f>Reporting!P51</x:f>
        <x:v>BNPP-&gt;Estreem</x:v>
      </x:c>
      <x:c r="C59" s="2" t="n">
        <x:f>Reporting!A51</x:f>
        <x:v>0</x:v>
      </x:c>
      <x:c r="D59" s="2" t="n">
        <x:f>Reporting!L51</x:f>
        <x:v>0</x:v>
      </x:c>
      <x:c r="E59" s="2" t="n">
        <x:f>Reporting!D51</x:f>
        <x:v>0</x:v>
      </x:c>
      <x:c r="F59" s="2" t="n">
        <x:f>Reporting!E51</x:f>
        <x:v>0</x:v>
      </x:c>
      <x:c r="G59" s="2" t="str">
        <x:f>Reporting!F51</x:f>
        <x:v>File to File</x:v>
      </x:c>
      <x:c r="H59" s="2" t="str">
        <x:f>Reporting!G51</x:f>
        <x:v>BNPP-&gt;Estreem</x:v>
      </x:c>
      <x:c r="I59" s="2" t="n">
        <x:f>Reporting!C51</x:f>
        <x:v>0</x:v>
      </x:c>
      <x:c r="J59" s="2" t="str">
        <x:f>Reporting!I51</x:f>
        <x:v>0</x:v>
      </x:c>
      <x:c r="K59" s="2" t="str">
        <x:f>Reporting!Q51</x:f>
        <x:v>0</x:v>
      </x:c>
      <x:c r="L59" s="2" t="str">
        <x:f>Reporting!R51</x:f>
        <x:v>0</x:v>
      </x:c>
      <x:c r="M59" s="2" t="str">
        <x:f>Reporting!H51</x:f>
        <x:v>0</x:v>
      </x:c>
      <x:c r="N59" s="2" t="str">
        <x:f>Reporting!K51</x:f>
        <x:v>0</x:v>
      </x:c>
    </x:row>
    <x:row r="60">
      <x:c r="A60" s="2" t="str">
        <x:f>Reporting!O52</x:f>
      </x:c>
      <x:c r="B60" s="2" t="str">
        <x:f>Reporting!P52</x:f>
        <x:v>Estreem-&gt;BNPP</x:v>
      </x:c>
      <x:c r="C60" s="2" t="n">
        <x:f>Reporting!A52</x:f>
        <x:v>0</x:v>
      </x:c>
      <x:c r="D60" s="2" t="n">
        <x:f>Reporting!L52</x:f>
        <x:v>0</x:v>
      </x:c>
      <x:c r="E60" s="2" t="n">
        <x:f>Reporting!D52</x:f>
        <x:v>0</x:v>
      </x:c>
      <x:c r="F60" s="2" t="str">
        <x:f>Reporting!E52</x:f>
      </x:c>
      <x:c r="G60" s="2" t="str">
        <x:f>Reporting!F52</x:f>
      </x:c>
      <x:c r="H60" s="2" t="str">
        <x:f>Reporting!G52</x:f>
        <x:v>Estreem-&gt;BNPP</x:v>
      </x:c>
      <x:c r="I60" s="2" t="n">
        <x:f>Reporting!C52</x:f>
        <x:v>0</x:v>
      </x:c>
      <x:c r="J60" s="2" t="str">
        <x:f>Reporting!I52</x:f>
        <x:v>0</x:v>
      </x:c>
      <x:c r="K60" s="2" t="str">
        <x:f>Reporting!Q52</x:f>
        <x:v>0</x:v>
      </x:c>
      <x:c r="L60" s="2" t="str">
        <x:f>Reporting!R52</x:f>
        <x:v>0</x:v>
      </x:c>
      <x:c r="M60" s="2" t="str">
        <x:f>Reporting!H52</x:f>
        <x:v>0</x:v>
      </x:c>
      <x:c r="N60" s="2" t="str">
        <x:f>Reporting!K52</x:f>
        <x:v>0</x:v>
      </x:c>
    </x:row>
    <x:row r="61">
      <x:c r="A61" s="2" t="str">
        <x:f>Reporting!O53</x:f>
        <x:v>File to Event</x:v>
      </x:c>
      <x:c r="B61" s="2" t="str">
        <x:f>Reporting!P53</x:f>
        <x:v>BNPP-&gt;Estreem</x:v>
      </x:c>
      <x:c r="C61" s="2" t="n">
        <x:f>Reporting!A53</x:f>
        <x:v>0</x:v>
      </x:c>
      <x:c r="D61" s="2" t="str">
        <x:f>Reporting!L53</x:f>
        <x:v>N/A</x:v>
      </x:c>
      <x:c r="E61" s="2" t="n">
        <x:f>Reporting!D53</x:f>
        <x:v>0</x:v>
      </x:c>
      <x:c r="F61" s="2" t="n">
        <x:f>Reporting!E53</x:f>
        <x:v>0</x:v>
      </x:c>
      <x:c r="G61" s="2" t="str">
        <x:f>Reporting!F53</x:f>
        <x:v>File to Event</x:v>
      </x:c>
      <x:c r="H61" s="2" t="str">
        <x:f>Reporting!G53</x:f>
        <x:v>BNPP-&gt;Estreem</x:v>
      </x:c>
      <x:c r="I61" s="2" t="n">
        <x:f>Reporting!C53</x:f>
        <x:v>0</x:v>
      </x:c>
      <x:c r="J61" s="2" t="str">
        <x:f>Reporting!I53</x:f>
        <x:v>N/A</x:v>
      </x:c>
      <x:c r="K61" s="2" t="str">
        <x:f>Reporting!Q53</x:f>
        <x:v>N/A</x:v>
      </x:c>
      <x:c r="L61" s="2" t="str">
        <x:f>Reporting!R53</x:f>
        <x:v>N/A</x:v>
      </x:c>
      <x:c r="M61" s="2" t="str">
        <x:f>Reporting!H53</x:f>
        <x:v>N/A</x:v>
      </x:c>
      <x:c r="N61" s="2" t="str">
        <x:f>Reporting!K53</x:f>
        <x:v>N/A</x:v>
      </x:c>
    </x:row>
    <x:row r="62">
      <x:c r="A62" s="2" t="str">
        <x:f>Reporting!O54</x:f>
      </x:c>
      <x:c r="B62" s="2" t="str">
        <x:f>Reporting!P54</x:f>
        <x:v>Estreem-&gt;BNPP</x:v>
      </x:c>
      <x:c r="C62" s="2" t="n">
        <x:f>Reporting!A54</x:f>
        <x:v>0</x:v>
      </x:c>
      <x:c r="D62" s="2" t="n">
        <x:f>Reporting!L54</x:f>
        <x:v>0</x:v>
      </x:c>
      <x:c r="E62" s="2" t="n">
        <x:f>Reporting!D54</x:f>
        <x:v>0</x:v>
      </x:c>
      <x:c r="F62" s="2" t="str">
        <x:f>Reporting!E54</x:f>
      </x:c>
      <x:c r="G62" s="2" t="str">
        <x:f>Reporting!F54</x:f>
      </x:c>
      <x:c r="H62" s="2" t="str">
        <x:f>Reporting!G54</x:f>
        <x:v>Estreem-&gt;BNPP</x:v>
      </x:c>
      <x:c r="I62" s="2" t="n">
        <x:f>Reporting!C54</x:f>
        <x:v>0</x:v>
      </x:c>
      <x:c r="J62" s="2" t="str">
        <x:f>Reporting!I54</x:f>
        <x:v>0</x:v>
      </x:c>
      <x:c r="K62" s="2" t="str">
        <x:f>Reporting!Q54</x:f>
        <x:v>0</x:v>
      </x:c>
      <x:c r="L62" s="2" t="str">
        <x:f>Reporting!R54</x:f>
        <x:v>0</x:v>
      </x:c>
      <x:c r="M62" s="2" t="str">
        <x:f>Reporting!H54</x:f>
        <x:v>0</x:v>
      </x:c>
      <x:c r="N62" s="2" t="str">
        <x:f>Reporting!K54</x:f>
        <x:v>0</x:v>
      </x:c>
    </x:row>
    <x:row r="63">
      <x:c r="A63" s="2" t="str">
        <x:f>Reporting!O55</x:f>
        <x:v>GED</x:v>
      </x:c>
      <x:c r="B63" s="2" t="str">
        <x:f>Reporting!P55</x:f>
        <x:v>BNPP-&gt;Estreem</x:v>
      </x:c>
      <x:c r="C63" s="2" t="n">
        <x:f>Reporting!A55</x:f>
        <x:v>0</x:v>
      </x:c>
      <x:c r="D63" s="2" t="n">
        <x:f>Reporting!L55</x:f>
        <x:v>0</x:v>
      </x:c>
      <x:c r="E63" s="2" t="n">
        <x:f>Reporting!D55</x:f>
        <x:v>0</x:v>
      </x:c>
      <x:c r="F63" s="2" t="n">
        <x:f>Reporting!E55</x:f>
        <x:v>0</x:v>
      </x:c>
      <x:c r="G63" s="2" t="str">
        <x:f>Reporting!F55</x:f>
        <x:v>GED</x:v>
      </x:c>
      <x:c r="H63" s="2" t="str">
        <x:f>Reporting!G55</x:f>
        <x:v>BNPP-&gt;Estreem</x:v>
      </x:c>
      <x:c r="I63" s="2" t="n">
        <x:f>Reporting!C55</x:f>
        <x:v>0</x:v>
      </x:c>
      <x:c r="J63" s="2" t="str">
        <x:f>Reporting!I55</x:f>
        <x:v>0</x:v>
      </x:c>
      <x:c r="K63" s="2" t="str">
        <x:f>Reporting!Q55</x:f>
        <x:v>0</x:v>
      </x:c>
      <x:c r="L63" s="2" t="str">
        <x:f>Reporting!R55</x:f>
        <x:v>0</x:v>
      </x:c>
      <x:c r="M63" s="2" t="str">
        <x:f>Reporting!H55</x:f>
        <x:v>0</x:v>
      </x:c>
      <x:c r="N63" s="2" t="str">
        <x:f>Reporting!K55</x:f>
        <x:v>0</x:v>
      </x:c>
    </x:row>
    <x:row r="64">
      <x:c r="A64" s="2" t="n">
        <x:f>Reporting!O56</x:f>
        <x:v>0</x:v>
      </x:c>
      <x:c r="B64" s="2" t="str">
        <x:f>Reporting!P56</x:f>
        <x:v>Estreem-&gt;BNPP</x:v>
      </x:c>
      <x:c r="C64" s="2" t="n">
        <x:f>Reporting!A56</x:f>
        <x:v>0</x:v>
      </x:c>
      <x:c r="D64" s="2" t="n">
        <x:f>Reporting!L56</x:f>
        <x:v>0</x:v>
      </x:c>
      <x:c r="E64" s="2" t="n">
        <x:f>Reporting!D56</x:f>
        <x:v>0</x:v>
      </x:c>
      <x:c r="F64" s="2" t="n">
        <x:f>Reporting!E56</x:f>
        <x:v>0</x:v>
      </x:c>
      <x:c r="G64" s="2" t="n">
        <x:f>Reporting!F56</x:f>
        <x:v>0</x:v>
      </x:c>
      <x:c r="H64" s="2" t="str">
        <x:f>Reporting!G56</x:f>
        <x:v>Estreem-&gt;BNPP</x:v>
      </x:c>
      <x:c r="I64" s="2" t="n">
        <x:f>Reporting!C56</x:f>
        <x:v>0</x:v>
      </x:c>
      <x:c r="J64" s="2" t="str">
        <x:f>Reporting!I56</x:f>
        <x:v>0</x:v>
      </x:c>
      <x:c r="K64" s="2" t="str">
        <x:f>Reporting!Q56</x:f>
        <x:v>0</x:v>
      </x:c>
      <x:c r="L64" s="2" t="str">
        <x:f>Reporting!R56</x:f>
        <x:v>0</x:v>
      </x:c>
      <x:c r="M64" s="2" t="str">
        <x:f>Reporting!H56</x:f>
        <x:v>0</x:v>
      </x:c>
      <x:c r="N64" s="2" t="str">
        <x:f>Reporting!K56</x:f>
        <x:v>0</x:v>
      </x:c>
    </x:row>
    <x:row r="65">
      <x:c r="A65" s="2" t="n">
        <x:f>Reporting!O57</x:f>
        <x:v>0</x:v>
      </x:c>
      <x:c r="B65" s="2" t="n">
        <x:f>Reporting!P57</x:f>
        <x:v>0</x:v>
      </x:c>
      <x:c r="C65" s="2" t="str">
        <x:f>Reporting!A57</x:f>
        <x:v>Phase 3 : Exécution des tests par les Utilisateurs</x:v>
      </x:c>
      <x:c r="D65" s="2" t="n">
        <x:f>Reporting!L57</x:f>
        <x:v>0</x:v>
      </x:c>
      <x:c r="E65" s="2" t="n">
        <x:f>Reporting!D57</x:f>
        <x:v>0</x:v>
      </x:c>
      <x:c r="F65" s="2" t="n">
        <x:f>Reporting!E57</x:f>
        <x:v>0</x:v>
      </x:c>
      <x:c r="G65" s="2" t="n">
        <x:f>Reporting!F57</x:f>
        <x:v>0</x:v>
      </x:c>
      <x:c r="H65" s="2" t="n">
        <x:f>Reporting!G57</x:f>
        <x:v>0</x:v>
      </x:c>
      <x:c r="I65" s="2" t="n">
        <x:f>Reporting!C57</x:f>
        <x:v>0</x:v>
      </x:c>
      <x:c r="J65" s="2" t="n">
        <x:f>Reporting!I57</x:f>
        <x:v>0</x:v>
      </x:c>
      <x:c r="K65" s="2" t="n">
        <x:f>Reporting!Q57</x:f>
        <x:v>0</x:v>
      </x:c>
      <x:c r="L65" s="2" t="n">
        <x:f>Reporting!R57</x:f>
        <x:v>0</x:v>
      </x:c>
      <x:c r="M65" s="2" t="n">
        <x:f>Reporting!H57</x:f>
        <x:v>0</x:v>
      </x:c>
      <x:c r="N65" s="2" t="n">
        <x:f>Reporting!K57</x:f>
        <x:v>0</x:v>
      </x:c>
    </x:row>
    <x:row r="66">
      <x:c r="A66" s="2" t="str">
        <x:f>Reporting!O58</x:f>
      </x:c>
      <x:c r="B66" s="2" t="str">
        <x:f>Reporting!P58</x:f>
      </x:c>
      <x:c r="C66" s="2" t="str">
        <x:f>Reporting!A58</x:f>
      </x:c>
      <x:c r="D66" s="2" t="n">
        <x:f>Reporting!L58</x:f>
        <x:v>0</x:v>
      </x:c>
      <x:c r="E66" s="2" t="str">
        <x:f>Reporting!D58</x:f>
      </x:c>
      <x:c r="F66" s="2" t="n">
        <x:f>Reporting!E58</x:f>
        <x:v>0</x:v>
      </x:c>
      <x:c r="G66" s="2" t="str">
        <x:f>Reporting!F58</x:f>
      </x:c>
      <x:c r="H66" s="2" t="n">
        <x:f>Reporting!G58</x:f>
        <x:v>0</x:v>
      </x:c>
      <x:c r="I66" s="2" t="str">
        <x:f>Reporting!C58</x:f>
      </x:c>
      <x:c r="J66" s="2" t="n">
        <x:f>Reporting!I58</x:f>
        <x:v>0</x:v>
      </x:c>
      <x:c r="K66" s="2" t="n">
        <x:f>Reporting!Q58</x:f>
        <x:v>0</x:v>
      </x:c>
      <x:c r="L66" s="2" t="str">
        <x:f>Reporting!R58</x:f>
      </x:c>
      <x:c r="M66" s="2" t="str">
        <x:f>Reporting!H58</x:f>
      </x:c>
      <x:c r="N66" s="2" t="n">
        <x:f>Reporting!K58</x:f>
        <x:v>0</x:v>
      </x:c>
    </x:row>
    <x:row r="67">
      <x:c r="A67" s="2" t="str">
        <x:f>Reporting!O59</x:f>
      </x:c>
      <x:c r="B67" s="2" t="str">
        <x:f>Reporting!P59</x:f>
        <x:v>Total</x:v>
      </x:c>
      <x:c r="C67" s="2" t="str">
        <x:f>Reporting!A59</x:f>
      </x:c>
      <x:c r="D67" s="2" t="n">
        <x:f>Reporting!L59</x:f>
        <x:v>0</x:v>
      </x:c>
      <x:c r="E67" s="2" t="str">
        <x:f>Reporting!D59</x:f>
        <x:v>Total</x:v>
      </x:c>
      <x:c r="F67" s="2" t="str">
        <x:f>Reporting!E59</x:f>
        <x:v>Rejeté</x:v>
      </x:c>
      <x:c r="G67" s="2" t="str">
        <x:f>Reporting!F59</x:f>
      </x:c>
      <x:c r="H67" s="2" t="str">
        <x:f>Reporting!G59</x:f>
        <x:v>Corrigé</x:v>
      </x:c>
      <x:c r="I67" s="2" t="str">
        <x:f>Reporting!C59</x:f>
      </x:c>
      <x:c r="J67" s="2" t="str">
        <x:f>Reporting!I59</x:f>
        <x:v>Validé</x:v>
      </x:c>
      <x:c r="K67" s="2" t="str">
        <x:f>Reporting!Q59</x:f>
        <x:v>Rejeté</x:v>
      </x:c>
      <x:c r="L67" s="2" t="str">
        <x:f>Reporting!R59</x:f>
      </x:c>
      <x:c r="M67" s="2" t="str">
        <x:f>Reporting!H59</x:f>
      </x:c>
      <x:c r="N67" s="2" t="str">
        <x:f>Reporting!K59</x:f>
        <x:v>En cours</x:v>
      </x:c>
    </x:row>
    <x:row r="68">
      <x:c r="A68" s="2" t="str">
        <x:f>Reporting!O60</x:f>
        <x:v>Criticité</x:v>
      </x:c>
      <x:c r="B68" s="2" t="str">
        <x:f>Reporting!P60</x:f>
        <x:v>Nbr d'ano</x:v>
      </x:c>
      <x:c r="C68" s="2" t="str">
        <x:f>Reporting!A60</x:f>
      </x:c>
      <x:c r="D68" s="2" t="str">
        <x:f>Reporting!L60</x:f>
        <x:v>id Octane / JIRA</x:v>
      </x:c>
      <x:c r="E68" s="2" t="str">
        <x:f>Reporting!D60</x:f>
        <x:v>Nbr d'ano</x:v>
      </x:c>
      <x:c r="F68" s="2" t="str">
        <x:f>Reporting!E60</x:f>
        <x:v>Nbr d'ano</x:v>
      </x:c>
      <x:c r="G68" s="2" t="str">
        <x:f>Reporting!F60</x:f>
        <x:v>id Octane / JIRA</x:v>
      </x:c>
      <x:c r="H68" s="2" t="str">
        <x:f>Reporting!G60</x:f>
        <x:v>Nbr d'ano</x:v>
      </x:c>
      <x:c r="I68" s="2" t="str">
        <x:f>Reporting!C60</x:f>
        <x:v>Criticité</x:v>
      </x:c>
      <x:c r="J68" s="2" t="str">
        <x:f>Reporting!I60</x:f>
        <x:v>Nbr d'ano</x:v>
      </x:c>
      <x:c r="K68" s="2" t="str">
        <x:f>Reporting!Q60</x:f>
        <x:v>Nbr d'ano</x:v>
      </x:c>
      <x:c r="L68" s="2" t="str">
        <x:f>Reporting!R60</x:f>
        <x:v>id Octane / JIRA</x:v>
      </x:c>
      <x:c r="M68" s="2" t="str">
        <x:f>Reporting!H60</x:f>
        <x:v>id Octane / JIRA</x:v>
      </x:c>
      <x:c r="N68" s="2" t="str">
        <x:f>Reporting!K60</x:f>
        <x:v>Nbr d'ano</x:v>
      </x:c>
    </x:row>
    <x:row r="69">
      <x:c r="A69" s="2" t="str">
        <x:f>Reporting!O61</x:f>
        <x:v>Critique</x:v>
      </x:c>
      <x:c r="B69" s="2" t="str">
        <x:f>Reporting!P61</x:f>
        <x:v>3</x:v>
      </x:c>
      <x:c r="C69" s="2" t="n">
        <x:f>Reporting!A61</x:f>
        <x:v>0</x:v>
      </x:c>
      <x:c r="D69" s="2" t="n">
        <x:f>Reporting!L61</x:f>
        <x:v>0</x:v>
      </x:c>
      <x:c r="E69" s="2" t="str">
        <x:f>Reporting!D61</x:f>
        <x:v>2</x:v>
      </x:c>
      <x:c r="F69" s="2" t="str">
        <x:f>Reporting!E61</x:f>
        <x:v>0</x:v>
      </x:c>
      <x:c r="G69" s="2" t="str">
        <x:f>Reporting!F61</x:f>
      </x:c>
      <x:c r="H69" s="2" t="str">
        <x:f>Reporting!G61</x:f>
        <x:v>0</x:v>
      </x:c>
      <x:c r="I69" s="2" t="str">
        <x:f>Reporting!C61</x:f>
        <x:v>Critique</x:v>
      </x:c>
      <x:c r="J69" s="2" t="str">
        <x:f>Reporting!I61</x:f>
        <x:v>2</x:v>
      </x:c>
      <x:c r="K69" s="2" t="str">
        <x:f>Reporting!Q61</x:f>
        <x:v>0</x:v>
      </x:c>
      <x:c r="L69" s="2" t="str">
        <x:f>Reporting!R61</x:f>
      </x:c>
      <x:c r="M69" s="2" t="str">
        <x:f>Reporting!H61</x:f>
      </x:c>
      <x:c r="N69" s="2" t="str">
        <x:f>Reporting!K61</x:f>
        <x:v>0</x:v>
      </x:c>
    </x:row>
    <x:row r="70">
      <x:c r="A70" s="2" t="str">
        <x:f>Reporting!O62</x:f>
        <x:v>Majeur</x:v>
      </x:c>
      <x:c r="B70" s="2" t="str">
        <x:f>Reporting!P62</x:f>
        <x:v>3</x:v>
      </x:c>
      <x:c r="C70" s="2" t="n">
        <x:f>Reporting!A62</x:f>
        <x:v>0</x:v>
      </x:c>
      <x:c r="D70" s="2" t="n">
        <x:f>Reporting!L62</x:f>
        <x:v>0</x:v>
      </x:c>
      <x:c r="E70" s="2" t="str">
        <x:f>Reporting!D62</x:f>
        <x:v>0</x:v>
      </x:c>
      <x:c r="F70" s="2" t="str">
        <x:f>Reporting!E62</x:f>
        <x:v>0</x:v>
      </x:c>
      <x:c r="G70" s="2" t="str">
        <x:f>Reporting!F62</x:f>
      </x:c>
      <x:c r="H70" s="2" t="str">
        <x:f>Reporting!G62</x:f>
        <x:v>0</x:v>
      </x:c>
      <x:c r="I70" s="2" t="str">
        <x:f>Reporting!C62</x:f>
        <x:v>Majeur</x:v>
      </x:c>
      <x:c r="J70" s="2" t="str">
        <x:f>Reporting!I62</x:f>
        <x:v>0</x:v>
      </x:c>
      <x:c r="K70" s="2" t="str">
        <x:f>Reporting!Q62</x:f>
        <x:v>0</x:v>
      </x:c>
      <x:c r="L70" s="2" t="str">
        <x:f>Reporting!R62</x:f>
      </x:c>
      <x:c r="M70" s="2" t="str">
        <x:f>Reporting!H62</x:f>
      </x:c>
      <x:c r="N70" s="2" t="str">
        <x:f>Reporting!K62</x:f>
        <x:v>0</x:v>
      </x:c>
    </x:row>
    <x:row r="71">
      <x:c r="A71" s="2" t="str">
        <x:f>Reporting!O63</x:f>
        <x:v>Mineur</x:v>
      </x:c>
      <x:c r="B71" s="2" t="str">
        <x:f>Reporting!P63</x:f>
        <x:v>0</x:v>
      </x:c>
      <x:c r="C71" s="2" t="str">
        <x:f>Reporting!A63</x:f>
      </x:c>
      <x:c r="D71" s="2" t="n">
        <x:f>Reporting!L63</x:f>
        <x:v>0</x:v>
      </x:c>
      <x:c r="E71" s="2" t="str">
        <x:f>Reporting!D63</x:f>
        <x:v>0</x:v>
      </x:c>
      <x:c r="F71" s="2" t="str">
        <x:f>Reporting!E63</x:f>
        <x:v>0</x:v>
      </x:c>
      <x:c r="G71" s="2" t="str">
        <x:f>Reporting!F63</x:f>
      </x:c>
      <x:c r="H71" s="2" t="str">
        <x:f>Reporting!G63</x:f>
        <x:v>0</x:v>
      </x:c>
      <x:c r="I71" s="2" t="str">
        <x:f>Reporting!C63</x:f>
        <x:v>Mineur</x:v>
      </x:c>
      <x:c r="J71" s="2" t="str">
        <x:f>Reporting!I63</x:f>
        <x:v>0</x:v>
      </x:c>
      <x:c r="K71" s="2" t="str">
        <x:f>Reporting!Q63</x:f>
        <x:v>0</x:v>
      </x:c>
      <x:c r="L71" s="2" t="str">
        <x:f>Reporting!R63</x:f>
      </x:c>
      <x:c r="M71" s="2" t="str">
        <x:f>Reporting!H63</x:f>
      </x:c>
      <x:c r="N71" s="2" t="str">
        <x:f>Reporting!K63</x:f>
        <x:v>0</x:v>
      </x:c>
    </x:row>
    <x:row r="72">
      <x:c r="A72" s="2" t="str">
        <x:f>Reporting!O64</x:f>
        <x:v>Critique</x:v>
      </x:c>
      <x:c r="B72" s="2" t="str">
        <x:f>Reporting!P64</x:f>
        <x:v>0</x:v>
      </x:c>
      <x:c r="C72" s="2" t="n">
        <x:f>Reporting!A64</x:f>
        <x:v>0</x:v>
      </x:c>
      <x:c r="D72" s="2" t="n">
        <x:f>Reporting!L64</x:f>
        <x:v>0</x:v>
      </x:c>
      <x:c r="E72" s="2" t="str">
        <x:f>Reporting!D64</x:f>
        <x:v>0</x:v>
      </x:c>
      <x:c r="F72" s="2" t="str">
        <x:f>Reporting!E64</x:f>
        <x:v>0</x:v>
      </x:c>
      <x:c r="G72" s="2" t="str">
        <x:f>Reporting!F64</x:f>
      </x:c>
      <x:c r="H72" s="2" t="str">
        <x:f>Reporting!G64</x:f>
        <x:v>0</x:v>
      </x:c>
      <x:c r="I72" s="2" t="str">
        <x:f>Reporting!C64</x:f>
        <x:v>Critique</x:v>
      </x:c>
      <x:c r="J72" s="2" t="str">
        <x:f>Reporting!I64</x:f>
        <x:v>0</x:v>
      </x:c>
      <x:c r="K72" s="2" t="str">
        <x:f>Reporting!Q64</x:f>
        <x:v>0</x:v>
      </x:c>
      <x:c r="L72" s="2" t="str">
        <x:f>Reporting!R64</x:f>
      </x:c>
      <x:c r="M72" s="2" t="str">
        <x:f>Reporting!H64</x:f>
      </x:c>
      <x:c r="N72" s="2" t="str">
        <x:f>Reporting!K64</x:f>
        <x:v>0</x:v>
      </x:c>
    </x:row>
    <x:row r="73">
      <x:c r="A73" s="2" t="str">
        <x:f>Reporting!O65</x:f>
        <x:v>Majeur</x:v>
      </x:c>
      <x:c r="B73" s="2" t="str">
        <x:f>Reporting!P65</x:f>
        <x:v>0</x:v>
      </x:c>
      <x:c r="C73" s="2" t="n">
        <x:f>Reporting!A65</x:f>
        <x:v>0</x:v>
      </x:c>
      <x:c r="D73" s="2" t="n">
        <x:f>Reporting!L65</x:f>
        <x:v>0</x:v>
      </x:c>
      <x:c r="E73" s="2" t="str">
        <x:f>Reporting!D65</x:f>
        <x:v>0</x:v>
      </x:c>
      <x:c r="F73" s="2" t="str">
        <x:f>Reporting!E65</x:f>
        <x:v>0</x:v>
      </x:c>
      <x:c r="G73" s="2" t="str">
        <x:f>Reporting!F65</x:f>
      </x:c>
      <x:c r="H73" s="2" t="str">
        <x:f>Reporting!G65</x:f>
        <x:v>0</x:v>
      </x:c>
      <x:c r="I73" s="2" t="str">
        <x:f>Reporting!C65</x:f>
        <x:v>Majeur</x:v>
      </x:c>
      <x:c r="J73" s="2" t="str">
        <x:f>Reporting!I65</x:f>
        <x:v>0</x:v>
      </x:c>
      <x:c r="K73" s="2" t="str">
        <x:f>Reporting!Q65</x:f>
        <x:v>0</x:v>
      </x:c>
      <x:c r="L73" s="2" t="str">
        <x:f>Reporting!R65</x:f>
      </x:c>
      <x:c r="M73" s="2" t="str">
        <x:f>Reporting!H65</x:f>
      </x:c>
      <x:c r="N73" s="2" t="str">
        <x:f>Reporting!K65</x:f>
        <x:v>0</x:v>
      </x:c>
    </x:row>
    <x:row r="74">
      <x:c r="A74" s="2" t="str">
        <x:f>Reporting!O66</x:f>
        <x:v>Mineur</x:v>
      </x:c>
      <x:c r="B74" s="2" t="str">
        <x:f>Reporting!P66</x:f>
        <x:v>0</x:v>
      </x:c>
      <x:c r="C74" s="2" t="n">
        <x:f>Reporting!A66</x:f>
        <x:v>0</x:v>
      </x:c>
      <x:c r="D74" s="2" t="n">
        <x:f>Reporting!L66</x:f>
        <x:v>0</x:v>
      </x:c>
      <x:c r="E74" s="2" t="str">
        <x:f>Reporting!D66</x:f>
        <x:v>0</x:v>
      </x:c>
      <x:c r="F74" s="2" t="str">
        <x:f>Reporting!E66</x:f>
        <x:v>0</x:v>
      </x:c>
      <x:c r="G74" s="2" t="n">
        <x:f>Reporting!F66</x:f>
        <x:v>0</x:v>
      </x:c>
      <x:c r="H74" s="2" t="str">
        <x:f>Reporting!G66</x:f>
        <x:v>0</x:v>
      </x:c>
      <x:c r="I74" s="2" t="str">
        <x:f>Reporting!C66</x:f>
        <x:v>Mineur</x:v>
      </x:c>
      <x:c r="J74" s="2" t="str">
        <x:f>Reporting!I66</x:f>
        <x:v>0</x:v>
      </x:c>
      <x:c r="K74" s="2" t="str">
        <x:f>Reporting!Q66</x:f>
        <x:v>0</x:v>
      </x:c>
      <x:c r="L74" s="2" t="n">
        <x:f>Reporting!R66</x:f>
        <x:v>0</x:v>
      </x:c>
      <x:c r="M74" s="2" t="n">
        <x:f>Reporting!H66</x:f>
        <x:v>0</x:v>
      </x:c>
      <x:c r="N74" s="2" t="str">
        <x:f>Reporting!K66</x:f>
        <x:v>0</x:v>
      </x:c>
    </x:row>
    <x:row r="75">
      <x:c r="A75" s="2" t="n">
        <x:f>Reporting!O67</x:f>
        <x:v>0</x:v>
      </x:c>
      <x:c r="B75" s="2" t="n">
        <x:f>Reporting!P67</x:f>
        <x:v>0</x:v>
      </x:c>
      <x:c r="C75" s="2" t="n">
        <x:f>Reporting!A67</x:f>
        <x:v>0</x:v>
      </x:c>
      <x:c r="D75" s="2" t="n">
        <x:f>Reporting!L67</x:f>
        <x:v>0</x:v>
      </x:c>
      <x:c r="E75" s="2" t="n">
        <x:f>Reporting!D67</x:f>
        <x:v>0</x:v>
      </x:c>
      <x:c r="F75" s="2" t="n">
        <x:f>Reporting!E67</x:f>
        <x:v>0</x:v>
      </x:c>
      <x:c r="G75" s="2" t="n">
        <x:f>Reporting!F67</x:f>
        <x:v>0</x:v>
      </x:c>
      <x:c r="H75" s="2" t="n">
        <x:f>Reporting!G67</x:f>
        <x:v>0</x:v>
      </x:c>
      <x:c r="I75" s="2" t="n">
        <x:f>Reporting!C67</x:f>
        <x:v>0</x:v>
      </x:c>
      <x:c r="J75" s="2" t="n">
        <x:f>Reporting!I67</x:f>
        <x:v>0</x:v>
      </x:c>
      <x:c r="K75" s="2" t="n">
        <x:f>Reporting!Q67</x:f>
        <x:v>0</x:v>
      </x:c>
      <x:c r="L75" s="2" t="n">
        <x:f>Reporting!R67</x:f>
        <x:v>0</x:v>
      </x:c>
      <x:c r="M75" s="2" t="n">
        <x:f>Reporting!H67</x:f>
        <x:v>0</x:v>
      </x:c>
      <x:c r="N75" s="2" t="n">
        <x:f>Reporting!K67</x:f>
        <x:v>0</x:v>
      </x:c>
    </x:row>
    <x:row r="76">
      <x:c r="A76" s="2" t="n">
        <x:f>Reporting!O68</x:f>
        <x:v>0</x:v>
      </x:c>
      <x:c r="B76" s="2" t="n">
        <x:f>Reporting!P68</x:f>
        <x:v>0</x:v>
      </x:c>
      <x:c r="C76" s="2" t="n">
        <x:f>Reporting!A68</x:f>
        <x:v>0</x:v>
      </x:c>
      <x:c r="D76" s="2" t="n">
        <x:f>Reporting!L68</x:f>
        <x:v>0</x:v>
      </x:c>
      <x:c r="E76" s="2" t="n">
        <x:f>Reporting!D68</x:f>
        <x:v>0</x:v>
      </x:c>
      <x:c r="F76" s="2" t="n">
        <x:f>Reporting!E68</x:f>
        <x:v>0</x:v>
      </x:c>
      <x:c r="G76" s="2" t="n">
        <x:f>Reporting!F68</x:f>
        <x:v>0</x:v>
      </x:c>
      <x:c r="H76" s="2" t="n">
        <x:f>Reporting!G68</x:f>
        <x:v>0</x:v>
      </x:c>
      <x:c r="I76" s="2" t="n">
        <x:f>Reporting!C68</x:f>
        <x:v>0</x:v>
      </x:c>
      <x:c r="J76" s="2" t="n">
        <x:f>Reporting!I68</x:f>
        <x:v>0</x:v>
      </x:c>
      <x:c r="K76" s="2" t="n">
        <x:f>Reporting!Q68</x:f>
        <x:v>0</x:v>
      </x:c>
      <x:c r="L76" s="2" t="n">
        <x:f>Reporting!R68</x:f>
        <x:v>0</x:v>
      </x:c>
      <x:c r="M76" s="2" t="n">
        <x:f>Reporting!H68</x:f>
        <x:v>0</x:v>
      </x:c>
      <x:c r="N76" s="2" t="n">
        <x:f>Reporting!K68</x:f>
        <x:v>0</x:v>
      </x:c>
    </x:row>
    <x:row r="77">
      <x:c r="A77" s="2" t="str">
        <x:f>Reporting!O69</x:f>
      </x:c>
      <x:c r="B77" s="2" t="str">
        <x:f>Reporting!P69</x:f>
      </x:c>
      <x:c r="C77" s="2" t="str">
        <x:f>Reporting!A69</x:f>
        <x:v>Données source du dashboard — modifier uniquement le tableau ci-dessous puis relancer Actualiser_Dashboard_GIL.cmd</x:v>
      </x:c>
      <x:c r="D77" s="2" t="str">
        <x:f>Reporting!L69</x:f>
      </x:c>
      <x:c r="E77" s="2" t="str">
        <x:f>Reporting!D69</x:f>
      </x:c>
      <x:c r="F77" s="2" t="str">
        <x:f>Reporting!E69</x:f>
      </x:c>
      <x:c r="G77" s="2" t="str">
        <x:f>Reporting!F69</x:f>
      </x:c>
      <x:c r="H77" s="2" t="str">
        <x:f>Reporting!G69</x:f>
      </x:c>
      <x:c r="I77" s="2" t="str">
        <x:f>Reporting!C69</x:f>
      </x:c>
      <x:c r="J77" s="2" t="str">
        <x:f>Reporting!I69</x:f>
      </x:c>
      <x:c r="K77" s="2" t="str">
        <x:f>Reporting!Q69</x:f>
      </x:c>
      <x:c r="L77" s="2" t="n">
        <x:f>Reporting!R69</x:f>
        <x:v>0</x:v>
      </x:c>
      <x:c r="M77" s="2" t="str">
        <x:f>Reporting!H69</x:f>
      </x:c>
      <x:c r="N77" s="2" t="str">
        <x:f>Reporting!K69</x:f>
      </x:c>
    </x:row>
    <x:row r="78">
      <x:c r="A78" s="2" t="str">
        <x:f>Reporting!O70</x:f>
        <x:v>Sprint</x:v>
      </x:c>
      <x:c r="B78" s="2" t="str">
        <x:f>Reporting!P70</x:f>
        <x:v>Niveau_Semaine</x:v>
      </x:c>
      <x:c r="C78" s="2" t="str">
        <x:f>Reporting!A70</x:f>
        <x:v>Semaine</x:v>
      </x:c>
      <x:c r="D78" s="2" t="str">
        <x:f>Reporting!L70</x:f>
        <x:v>Nature_Donnée</x:v>
      </x:c>
      <x:c r="E78" s="2" t="str">
        <x:f>Reporting!D70</x:f>
        <x:v>Domaine</x:v>
      </x:c>
      <x:c r="F78" s="2" t="str">
        <x:f>Reporting!E70</x:f>
        <x:v>Sous_Domaine</x:v>
      </x:c>
      <x:c r="G78" s="2" t="str">
        <x:f>Reporting!F70</x:f>
        <x:v>Environnement</x:v>
      </x:c>
      <x:c r="H78" s="2" t="str">
        <x:f>Reporting!G70</x:f>
        <x:v>Type_Livraison</x:v>
      </x:c>
      <x:c r="I78" s="2" t="str">
        <x:f>Reporting!C70</x:f>
        <x:v>ID_Flux</x:v>
      </x:c>
      <x:c r="J78" s="2" t="str">
        <x:f>Reporting!I70</x:f>
        <x:v>Version</x:v>
      </x:c>
      <x:c r="K78" s="2" t="str">
        <x:f>Reporting!Q70</x:f>
        <x:v>État_Flux</x:v>
      </x:c>
      <x:c r="L78" s="2" t="str">
        <x:f>Reporting!R70</x:f>
        <x:v>État_Anomalie</x:v>
      </x:c>
      <x:c r="M78" s="2" t="str">
        <x:f>Reporting!H70</x:f>
        <x:v>Statut</x:v>
      </x:c>
      <x:c r="N78" s="2" t="str">
        <x:f>Reporting!K70</x:f>
        <x:v>Commentaire</x:v>
      </x:c>
    </x:row>
    <x:row r="79">
      <x:c r="A79" s="2" t="str">
        <x:f>Reporting!O71</x:f>
        <x:v>Sprint 21</x:v>
      </x:c>
      <x:c r="B79" s="2" t="str">
        <x:f>Reporting!P71</x:f>
        <x:v>Semaine 2</x:v>
      </x:c>
      <x:c r="C79" s="2" t="str">
        <x:f>Reporting!A71</x:f>
        <x:v>2026-W32</x:v>
      </x:c>
      <x:c r="D79" s="2" t="str">
        <x:f>Reporting!L71</x:f>
        <x:v>Réel</x:v>
      </x:c>
      <x:c r="E79" s="2" t="str">
        <x:f>Reporting!D71</x:f>
        <x:v>Acquisition</x:v>
      </x:c>
      <x:c r="F79" s="2" t="str">
        <x:f>Reporting!E71</x:f>
        <x:v>Onboarding</x:v>
      </x:c>
      <x:c r="G79" s="2" t="str">
        <x:f>Reporting!F71</x:f>
        <x:v>SIT</x:v>
      </x:c>
      <x:c r="H79" s="2" t="str">
        <x:f>Reporting!G71</x:f>
        <x:v>Configuration</x:v>
      </x:c>
      <x:c r="I79" s="2" t="str">
        <x:f>Reporting!C71</x:f>
        <x:v>MM4-1</x:v>
      </x:c>
      <x:c r="J79" s="2" t="str">
        <x:f>Reporting!I71</x:f>
        <x:v>v1.5.0</x:v>
      </x:c>
      <x:c r="K79" s="2" t="str">
        <x:f>Reporting!Q71</x:f>
        <x:v>Prêt</x:v>
      </x:c>
      <x:c r="L79" s="2" t="str">
        <x:f>Reporting!R71</x:f>
        <x:v>OK</x:v>
      </x:c>
      <x:c r="M79" s="2" t="str">
        <x:f>Reporting!H71</x:f>
        <x:v>Livré</x:v>
      </x:c>
      <x:c r="N79" s="2" t="n">
        <x:f>Reporting!K71</x:f>
        <x:v>0</x:v>
      </x:c>
    </x:row>
    <x:row r="80">
      <x:c r="A80" s="2" t="str">
        <x:f>Reporting!O72</x:f>
        <x:v>Sprint 21</x:v>
      </x:c>
      <x:c r="B80" s="2" t="str">
        <x:f>Reporting!P72</x:f>
        <x:v>Semaine 2</x:v>
      </x:c>
      <x:c r="C80" s="2" t="str">
        <x:f>Reporting!A72</x:f>
        <x:v>2026-W32</x:v>
      </x:c>
      <x:c r="D80" s="2" t="str">
        <x:f>Reporting!L72</x:f>
        <x:v>Réel</x:v>
      </x:c>
      <x:c r="E80" s="2" t="str">
        <x:f>Reporting!D72</x:f>
        <x:v>Acquisition</x:v>
      </x:c>
      <x:c r="F80" s="2" t="str">
        <x:f>Reporting!E72</x:f>
        <x:v>Onboarding</x:v>
      </x:c>
      <x:c r="G80" s="2" t="str">
        <x:f>Reporting!F72</x:f>
        <x:v>SIT</x:v>
      </x:c>
      <x:c r="H80" s="2" t="str">
        <x:f>Reporting!G72</x:f>
        <x:v>AVRO</x:v>
      </x:c>
      <x:c r="I80" s="2" t="str">
        <x:f>Reporting!C72</x:f>
        <x:v>MM5-1</x:v>
      </x:c>
      <x:c r="J80" s="2" t="str">
        <x:f>Reporting!I72</x:f>
        <x:v>v0.1.1 / v1.5.1 / v1.5.0</x:v>
      </x:c>
      <x:c r="K80" s="2" t="str">
        <x:f>Reporting!Q72</x:f>
        <x:v>Prêt</x:v>
      </x:c>
      <x:c r="L80" s="2" t="str">
        <x:f>Reporting!R72</x:f>
        <x:v>OK</x:v>
      </x:c>
      <x:c r="M80" s="2" t="str">
        <x:f>Reporting!H72</x:f>
        <x:v>Livré</x:v>
      </x:c>
      <x:c r="N80" s="2" t="str">
        <x:f>Reporting!K72</x:f>
        <x:v>Versions livrées consolidées sur une seule ligne</x:v>
      </x:c>
    </x:row>
    <x:row r="81">
      <x:c r="A81" s="2" t="str">
        <x:f>Reporting!O73</x:f>
        <x:v>Sprint 21</x:v>
      </x:c>
      <x:c r="B81" s="2" t="str">
        <x:f>Reporting!P73</x:f>
        <x:v>Semaine 2</x:v>
      </x:c>
      <x:c r="C81" s="2" t="str">
        <x:f>Reporting!A73</x:f>
        <x:v>2026-W32</x:v>
      </x:c>
      <x:c r="D81" s="2" t="str">
        <x:f>Reporting!L73</x:f>
        <x:v>Réel</x:v>
      </x:c>
      <x:c r="E81" s="2" t="str">
        <x:f>Reporting!D73</x:f>
        <x:v>Acquisition</x:v>
      </x:c>
      <x:c r="F81" s="2" t="str">
        <x:f>Reporting!E73</x:f>
        <x:v>Onboarding</x:v>
      </x:c>
      <x:c r="G81" s="2" t="str">
        <x:f>Reporting!F73</x:f>
        <x:v>SIT</x:v>
      </x:c>
      <x:c r="H81" s="2" t="str">
        <x:f>Reporting!G73</x:f>
        <x:v>AVRO</x:v>
      </x:c>
      <x:c r="I81" s="2" t="str">
        <x:f>Reporting!C73</x:f>
        <x:v>MM7</x:v>
      </x:c>
      <x:c r="J81" s="2" t="str">
        <x:f>Reporting!I73</x:f>
        <x:v>v0.1.1 / v1.5.1 / v1.5</x:v>
      </x:c>
      <x:c r="K81" s="2" t="str">
        <x:f>Reporting!Q73</x:f>
        <x:v>En cours</x:v>
      </x:c>
      <x:c r="L81" s="2" t="str">
        <x:f>Reporting!R73</x:f>
        <x:v>En cours</x:v>
      </x:c>
      <x:c r="M81" s="2" t="str">
        <x:f>Reporting!H73</x:f>
        <x:v>En cours</x:v>
      </x:c>
      <x:c r="N81" s="2" t="n">
        <x:f>Reporting!K73</x:f>
        <x:v>0</x:v>
      </x:c>
    </x:row>
    <x:row r="82">
      <x:c r="A82" s="2" t="str">
        <x:f>Reporting!O74</x:f>
        <x:v>Sprint 21</x:v>
      </x:c>
      <x:c r="B82" s="2" t="str">
        <x:f>Reporting!P74</x:f>
        <x:v>Semaine 2</x:v>
      </x:c>
      <x:c r="C82" s="2" t="str">
        <x:f>Reporting!A74</x:f>
        <x:v>2026-W32</x:v>
      </x:c>
      <x:c r="D82" s="2" t="str">
        <x:f>Reporting!L74</x:f>
        <x:v>Réel</x:v>
      </x:c>
      <x:c r="E82" s="2" t="str">
        <x:f>Reporting!D74</x:f>
        <x:v>Acquisition</x:v>
      </x:c>
      <x:c r="F82" s="2" t="str">
        <x:f>Reporting!E74</x:f>
        <x:v>Authorize</x:v>
      </x:c>
      <x:c r="G82" s="2" t="str">
        <x:f>Reporting!F74</x:f>
        <x:v>SIT</x:v>
      </x:c>
      <x:c r="H82" s="2" t="str">
        <x:f>Reporting!G74</x:f>
        <x:v>AVRO</x:v>
      </x:c>
      <x:c r="I82" s="2" t="str">
        <x:f>Reporting!C74</x:f>
        <x:v>OA5-2</x:v>
      </x:c>
      <x:c r="J82" s="2" t="str">
        <x:f>Reporting!I74</x:f>
        <x:v>v1.14</x:v>
      </x:c>
      <x:c r="K82" s="2" t="str">
        <x:f>Reporting!Q74</x:f>
        <x:v>Prêt</x:v>
      </x:c>
      <x:c r="L82" s="2" t="str">
        <x:f>Reporting!R74</x:f>
        <x:v>OK</x:v>
      </x:c>
      <x:c r="M82" s="2" t="str">
        <x:f>Reporting!H74</x:f>
        <x:v>Livré</x:v>
      </x:c>
      <x:c r="N82" s="2" t="n">
        <x:f>Reporting!K74</x:f>
        <x:v>0</x:v>
      </x:c>
    </x:row>
    <x:row r="83">
      <x:c r="A83" s="2" t="str">
        <x:f>Reporting!O75</x:f>
        <x:v>Sprint 21</x:v>
      </x:c>
      <x:c r="B83" s="2" t="str">
        <x:f>Reporting!P75</x:f>
        <x:v>Semaine 2</x:v>
      </x:c>
      <x:c r="C83" s="2" t="str">
        <x:f>Reporting!A75</x:f>
        <x:v>2026-W32</x:v>
      </x:c>
      <x:c r="D83" s="2" t="str">
        <x:f>Reporting!L75</x:f>
        <x:v>Réel</x:v>
      </x:c>
      <x:c r="E83" s="2" t="str">
        <x:f>Reporting!D75</x:f>
        <x:v>Acquisition</x:v>
      </x:c>
      <x:c r="F83" s="2" t="str">
        <x:f>Reporting!E75</x:f>
        <x:v>Crédit commerçant</x:v>
      </x:c>
      <x:c r="G83" s="2" t="str">
        <x:f>Reporting!F75</x:f>
        <x:v>SIT</x:v>
      </x:c>
      <x:c r="H83" s="2" t="str">
        <x:f>Reporting!G75</x:f>
        <x:v>AVRO</x:v>
      </x:c>
      <x:c r="I83" s="2" t="str">
        <x:f>Reporting!C75</x:f>
        <x:v>PC06-2</x:v>
      </x:c>
      <x:c r="J83" s="2" t="str">
        <x:f>Reporting!I75</x:f>
        <x:v>v1.10.0</x:v>
      </x:c>
      <x:c r="K83" s="2" t="str">
        <x:f>Reporting!Q75</x:f>
        <x:v>Prêt</x:v>
      </x:c>
      <x:c r="L83" s="2" t="str">
        <x:f>Reporting!R75</x:f>
        <x:v>OK</x:v>
      </x:c>
      <x:c r="M83" s="2" t="str">
        <x:f>Reporting!H75</x:f>
        <x:v>Livré</x:v>
      </x:c>
      <x:c r="N83" s="2" t="n">
        <x:f>Reporting!K75</x:f>
        <x:v>0</x:v>
      </x:c>
    </x:row>
    <x:row r="84">
      <x:c r="A84" s="2" t="str">
        <x:f>Reporting!O76</x:f>
        <x:v>Sprint 21</x:v>
      </x:c>
      <x:c r="B84" s="2" t="str">
        <x:f>Reporting!P76</x:f>
        <x:v>Semaine 2</x:v>
      </x:c>
      <x:c r="C84" s="2" t="str">
        <x:f>Reporting!A76</x:f>
        <x:v>2026-W32</x:v>
      </x:c>
      <x:c r="D84" s="2" t="str">
        <x:f>Reporting!L76</x:f>
        <x:v>Réel</x:v>
      </x:c>
      <x:c r="E84" s="2" t="str">
        <x:f>Reporting!D76</x:f>
        <x:v>Acquisition</x:v>
      </x:c>
      <x:c r="F84" s="2" t="str">
        <x:f>Reporting!E76</x:f>
        <x:v>Crédit commerçant</x:v>
      </x:c>
      <x:c r="G84" s="2" t="str">
        <x:f>Reporting!F76</x:f>
        <x:v>SIT</x:v>
      </x:c>
      <x:c r="H84" s="2" t="str">
        <x:f>Reporting!G76</x:f>
        <x:v>AVRO</x:v>
      </x:c>
      <x:c r="I84" s="2" t="str">
        <x:f>Reporting!C76</x:f>
        <x:v>PC07</x:v>
      </x:c>
      <x:c r="J84" s="2" t="str">
        <x:f>Reporting!I76</x:f>
        <x:v>v1.10.0</x:v>
      </x:c>
      <x:c r="K84" s="2" t="str">
        <x:f>Reporting!Q76</x:f>
        <x:v>Prêt</x:v>
      </x:c>
      <x:c r="L84" s="2" t="str">
        <x:f>Reporting!R76</x:f>
        <x:v>OK</x:v>
      </x:c>
      <x:c r="M84" s="2" t="str">
        <x:f>Reporting!H76</x:f>
        <x:v>Livré</x:v>
      </x:c>
      <x:c r="N84" s="2" t="n">
        <x:f>Reporting!K76</x:f>
        <x:v>0</x:v>
      </x:c>
    </x:row>
    <x:row r="85">
      <x:c r="A85" s="2" t="str">
        <x:f>Reporting!O77</x:f>
        <x:v>Sprint 21</x:v>
      </x:c>
      <x:c r="B85" s="2" t="str">
        <x:f>Reporting!P77</x:f>
        <x:v>Semaine 2</x:v>
      </x:c>
      <x:c r="C85" s="2" t="str">
        <x:f>Reporting!A77</x:f>
        <x:v>2026-W32</x:v>
      </x:c>
      <x:c r="D85" s="2" t="str">
        <x:f>Reporting!L77</x:f>
        <x:v>Réel</x:v>
      </x:c>
      <x:c r="E85" s="2" t="str">
        <x:f>Reporting!D77</x:f>
        <x:v>Issuing</x:v>
      </x:c>
      <x:c r="F85" s="2" t="str">
        <x:f>Reporting!E77</x:f>
        <x:v>Onboarding</x:v>
      </x:c>
      <x:c r="G85" s="2" t="str">
        <x:f>Reporting!F77</x:f>
        <x:v>SIT</x:v>
      </x:c>
      <x:c r="H85" s="2" t="str">
        <x:f>Reporting!G77</x:f>
        <x:v>Configuration</x:v>
      </x:c>
      <x:c r="I85" s="2" t="str">
        <x:f>Reporting!C77</x:f>
        <x:v>CMS4_001</x:v>
      </x:c>
      <x:c r="J85" s="2" t="str">
        <x:f>Reporting!I77</x:f>
        <x:v>v2.9</x:v>
      </x:c>
      <x:c r="K85" s="2" t="str">
        <x:f>Reporting!Q77</x:f>
        <x:v>Prêt</x:v>
      </x:c>
      <x:c r="L85" s="2" t="str">
        <x:f>Reporting!R77</x:f>
        <x:v>OK</x:v>
      </x:c>
      <x:c r="M85" s="2" t="str">
        <x:f>Reporting!H77</x:f>
        <x:v>Livré</x:v>
      </x:c>
      <x:c r="N85" s="2" t="n">
        <x:f>Reporting!K77</x:f>
        <x:v>0</x:v>
      </x:c>
    </x:row>
    <x:row r="86">
      <x:c r="A86" s="2" t="str">
        <x:f>Reporting!O78</x:f>
        <x:v>Sprint 21</x:v>
      </x:c>
      <x:c r="B86" s="2" t="str">
        <x:f>Reporting!P78</x:f>
        <x:v>Semaine 2</x:v>
      </x:c>
      <x:c r="C86" s="2" t="str">
        <x:f>Reporting!A78</x:f>
        <x:v>2026-W32</x:v>
      </x:c>
      <x:c r="D86" s="2" t="str">
        <x:f>Reporting!L78</x:f>
        <x:v>Réel</x:v>
      </x:c>
      <x:c r="E86" s="2" t="str">
        <x:f>Reporting!D78</x:f>
        <x:v>Issuing</x:v>
      </x:c>
      <x:c r="F86" s="2" t="str">
        <x:f>Reporting!E78</x:f>
        <x:v>Onboarding</x:v>
      </x:c>
      <x:c r="G86" s="2" t="str">
        <x:f>Reporting!F78</x:f>
        <x:v>SIT</x:v>
      </x:c>
      <x:c r="H86" s="2" t="str">
        <x:f>Reporting!G78</x:f>
        <x:v>AVRO</x:v>
      </x:c>
      <x:c r="I86" s="2" t="str">
        <x:f>Reporting!C78</x:f>
        <x:v>CMS14_001</x:v>
      </x:c>
      <x:c r="J86" s="2" t="str">
        <x:f>Reporting!I78</x:f>
        <x:v>v1.5</x:v>
      </x:c>
      <x:c r="K86" s="2" t="str">
        <x:f>Reporting!Q78</x:f>
        <x:v>Prêt</x:v>
      </x:c>
      <x:c r="L86" s="2" t="str">
        <x:f>Reporting!R78</x:f>
        <x:v>OK</x:v>
      </x:c>
      <x:c r="M86" s="2" t="str">
        <x:f>Reporting!H78</x:f>
        <x:v>Livré</x:v>
      </x:c>
      <x:c r="N86" s="2" t="n">
        <x:f>Reporting!K78</x:f>
        <x:v>0</x:v>
      </x:c>
    </x:row>
    <x:row r="87">
      <x:c r="A87" s="2" t="str">
        <x:f>Reporting!O79</x:f>
        <x:v>Sprint 21</x:v>
      </x:c>
      <x:c r="B87" s="2" t="str">
        <x:f>Reporting!P79</x:f>
        <x:v>Semaine 2</x:v>
      </x:c>
      <x:c r="C87" s="2" t="str">
        <x:f>Reporting!A79</x:f>
        <x:v>2026-W32</x:v>
      </x:c>
      <x:c r="D87" s="2" t="str">
        <x:f>Reporting!L79</x:f>
        <x:v>Réel</x:v>
      </x:c>
      <x:c r="E87" s="2" t="str">
        <x:f>Reporting!D79</x:f>
        <x:v>Issuing</x:v>
      </x:c>
      <x:c r="F87" s="2" t="str">
        <x:f>Reporting!E79</x:f>
        <x:v>Onboarding</x:v>
      </x:c>
      <x:c r="G87" s="2" t="str">
        <x:f>Reporting!F79</x:f>
        <x:v>SIT</x:v>
      </x:c>
      <x:c r="H87" s="2" t="str">
        <x:f>Reporting!G79</x:f>
        <x:v>AVRO</x:v>
      </x:c>
      <x:c r="I87" s="2" t="str">
        <x:f>Reporting!C79</x:f>
        <x:v>CMS14_002</x:v>
      </x:c>
      <x:c r="J87" s="2" t="str">
        <x:f>Reporting!I79</x:f>
        <x:v>v1.5</x:v>
      </x:c>
      <x:c r="K87" s="2" t="str">
        <x:f>Reporting!Q79</x:f>
        <x:v>Prêt</x:v>
      </x:c>
      <x:c r="L87" s="2" t="str">
        <x:f>Reporting!R79</x:f>
        <x:v>OK</x:v>
      </x:c>
      <x:c r="M87" s="2" t="str">
        <x:f>Reporting!H79</x:f>
        <x:v>Livré</x:v>
      </x:c>
      <x:c r="N87" s="2" t="n">
        <x:f>Reporting!K79</x:f>
        <x:v>0</x:v>
      </x:c>
    </x:row>
    <x:row r="88">
      <x:c r="A88" s="2" t="str">
        <x:f>Reporting!O80</x:f>
        <x:v>Sprint 21</x:v>
      </x:c>
      <x:c r="B88" s="2" t="str">
        <x:f>Reporting!P80</x:f>
        <x:v>Semaine 2</x:v>
      </x:c>
      <x:c r="C88" s="2" t="str">
        <x:f>Reporting!A80</x:f>
        <x:v>2026-W32</x:v>
      </x:c>
      <x:c r="D88" s="2" t="str">
        <x:f>Reporting!L80</x:f>
        <x:v>Réel</x:v>
      </x:c>
      <x:c r="E88" s="2" t="str">
        <x:f>Reporting!D80</x:f>
        <x:v>Issuing</x:v>
      </x:c>
      <x:c r="F88" s="2" t="str">
        <x:f>Reporting!E80</x:f>
        <x:v>Onboarding</x:v>
      </x:c>
      <x:c r="G88" s="2" t="str">
        <x:f>Reporting!F80</x:f>
        <x:v>SIT</x:v>
      </x:c>
      <x:c r="H88" s="2" t="str">
        <x:f>Reporting!G80</x:f>
        <x:v>AVRO</x:v>
      </x:c>
      <x:c r="I88" s="2" t="str">
        <x:f>Reporting!C80</x:f>
        <x:v>CMS20_001</x:v>
      </x:c>
      <x:c r="J88" s="2" t="str">
        <x:f>Reporting!I80</x:f>
        <x:v>v1.3.0</x:v>
      </x:c>
      <x:c r="K88" s="2" t="str">
        <x:f>Reporting!Q80</x:f>
        <x:v>Prêt</x:v>
      </x:c>
      <x:c r="L88" s="2" t="str">
        <x:f>Reporting!R80</x:f>
        <x:v>OK</x:v>
      </x:c>
      <x:c r="M88" s="2" t="str">
        <x:f>Reporting!H80</x:f>
        <x:v>Livré</x:v>
      </x:c>
      <x:c r="N88" s="2" t="n">
        <x:f>Reporting!K80</x:f>
        <x:v>0</x:v>
      </x:c>
    </x:row>
    <x:row r="89">
      <x:c r="A89" s="2" t="str">
        <x:f>Reporting!O81</x:f>
        <x:v>Sprint 21</x:v>
      </x:c>
      <x:c r="B89" s="2" t="str">
        <x:f>Reporting!P81</x:f>
        <x:v>Semaine 2</x:v>
      </x:c>
      <x:c r="C89" s="2" t="str">
        <x:f>Reporting!A81</x:f>
        <x:v>2026-W32</x:v>
      </x:c>
      <x:c r="D89" s="2" t="str">
        <x:f>Reporting!L81</x:f>
        <x:v>Réel</x:v>
      </x:c>
      <x:c r="E89" s="2" t="str">
        <x:f>Reporting!D81</x:f>
        <x:v>Issuing</x:v>
      </x:c>
      <x:c r="F89" s="2" t="str">
        <x:f>Reporting!E81</x:f>
        <x:v>Onboarding</x:v>
      </x:c>
      <x:c r="G89" s="2" t="str">
        <x:f>Reporting!F81</x:f>
        <x:v>SIT</x:v>
      </x:c>
      <x:c r="H89" s="2" t="str">
        <x:f>Reporting!G81</x:f>
        <x:v>AVRO</x:v>
      </x:c>
      <x:c r="I89" s="2" t="str">
        <x:f>Reporting!C81</x:f>
        <x:v>CMS37_001</x:v>
      </x:c>
      <x:c r="J89" s="2" t="str">
        <x:f>Reporting!I81</x:f>
        <x:v>v1.3.0</x:v>
      </x:c>
      <x:c r="K89" s="2" t="str">
        <x:f>Reporting!Q81</x:f>
        <x:v>Prêt</x:v>
      </x:c>
      <x:c r="L89" s="2" t="str">
        <x:f>Reporting!R81</x:f>
        <x:v>OK</x:v>
      </x:c>
      <x:c r="M89" s="2" t="str">
        <x:f>Reporting!H81</x:f>
        <x:v>Livré</x:v>
      </x:c>
      <x:c r="N89" s="2" t="n">
        <x:f>Reporting!K81</x:f>
        <x:v>0</x:v>
      </x:c>
    </x:row>
    <x:row r="90">
      <x:c r="A90" s="2" t="str">
        <x:f>Reporting!O82</x:f>
        <x:v>Sprint 21</x:v>
      </x:c>
      <x:c r="B90" s="2" t="str">
        <x:f>Reporting!P82</x:f>
        <x:v>Semaine 2</x:v>
      </x:c>
      <x:c r="C90" s="2" t="str">
        <x:f>Reporting!A82</x:f>
        <x:v>2026-W32</x:v>
      </x:c>
      <x:c r="D90" s="2" t="str">
        <x:f>Reporting!L82</x:f>
        <x:v>Réel</x:v>
      </x:c>
      <x:c r="E90" s="2" t="str">
        <x:f>Reporting!D82</x:f>
        <x:v>Issuing</x:v>
      </x:c>
      <x:c r="F90" s="2" t="str">
        <x:f>Reporting!E82</x:f>
        <x:v>Onboarding</x:v>
      </x:c>
      <x:c r="G90" s="2" t="str">
        <x:f>Reporting!F82</x:f>
        <x:v>SIT</x:v>
      </x:c>
      <x:c r="H90" s="2" t="str">
        <x:f>Reporting!G82</x:f>
        <x:v>AVRO</x:v>
      </x:c>
      <x:c r="I90" s="2" t="str">
        <x:f>Reporting!C82</x:f>
        <x:v>CMS22</x:v>
      </x:c>
      <x:c r="J90" s="2" t="str">
        <x:f>Reporting!I82</x:f>
        <x:v>v1.2</x:v>
      </x:c>
      <x:c r="K90" s="2" t="str">
        <x:f>Reporting!Q82</x:f>
        <x:v>Prêt</x:v>
      </x:c>
      <x:c r="L90" s="2" t="str">
        <x:f>Reporting!R82</x:f>
        <x:v>OK</x:v>
      </x:c>
      <x:c r="M90" s="2" t="str">
        <x:f>Reporting!H82</x:f>
        <x:v>Livré</x:v>
      </x:c>
      <x:c r="N90" s="2" t="n">
        <x:f>Reporting!K82</x:f>
        <x:v>0</x:v>
      </x:c>
    </x:row>
    <x:row r="91">
      <x:c r="A91" s="2" t="str">
        <x:f>Reporting!O83</x:f>
        <x:v>Sprint 21</x:v>
      </x:c>
      <x:c r="B91" s="2" t="str">
        <x:f>Reporting!P83</x:f>
        <x:v>Semaine 2</x:v>
      </x:c>
      <x:c r="C91" s="2" t="str">
        <x:f>Reporting!A83</x:f>
        <x:v>2026-W32</x:v>
      </x:c>
      <x:c r="D91" s="2" t="str">
        <x:f>Reporting!L83</x:f>
        <x:v>Réel</x:v>
      </x:c>
      <x:c r="E91" s="2" t="str">
        <x:f>Reporting!D83</x:f>
        <x:v>Issuing</x:v>
      </x:c>
      <x:c r="F91" s="2" t="str">
        <x:f>Reporting!E83</x:f>
        <x:v>Onboarding</x:v>
      </x:c>
      <x:c r="G91" s="2" t="str">
        <x:f>Reporting!F83</x:f>
        <x:v>SIT</x:v>
      </x:c>
      <x:c r="H91" s="2" t="str">
        <x:f>Reporting!G83</x:f>
        <x:v>AVRO</x:v>
      </x:c>
      <x:c r="I91" s="2" t="str">
        <x:f>Reporting!C83</x:f>
        <x:v>CMS14_003</x:v>
      </x:c>
      <x:c r="J91" s="2" t="str">
        <x:f>Reporting!I83</x:f>
        <x:v>v1.5</x:v>
      </x:c>
      <x:c r="K91" s="2" t="str">
        <x:f>Reporting!Q83</x:f>
        <x:v>Non prêt</x:v>
      </x:c>
      <x:c r="L91" s="2" t="str">
        <x:f>Reporting!R83</x:f>
        <x:v>KO</x:v>
      </x:c>
      <x:c r="M91" s="2" t="str">
        <x:f>Reporting!H83</x:f>
        <x:v>À traiter</x:v>
      </x:c>
      <x:c r="N91" s="2" t="n">
        <x:f>Reporting!K83</x:f>
        <x:v>0</x:v>
      </x:c>
    </x:row>
    <x:row r="92">
      <x:c r="A92" s="2" t="str">
        <x:f>Reporting!O84</x:f>
        <x:v>Sprint 21</x:v>
      </x:c>
      <x:c r="B92" s="2" t="str">
        <x:f>Reporting!P84</x:f>
        <x:v>Semaine 2</x:v>
      </x:c>
      <x:c r="C92" s="2" t="str">
        <x:f>Reporting!A84</x:f>
        <x:v>2026-W32</x:v>
      </x:c>
      <x:c r="D92" s="2" t="str">
        <x:f>Reporting!L84</x:f>
        <x:v>Réel</x:v>
      </x:c>
      <x:c r="E92" s="2" t="str">
        <x:f>Reporting!D84</x:f>
        <x:v>Issuing</x:v>
      </x:c>
      <x:c r="F92" s="2" t="str">
        <x:f>Reporting!E84</x:f>
        <x:v>Authorize / Paiement</x:v>
      </x:c>
      <x:c r="G92" s="2" t="str">
        <x:f>Reporting!F84</x:f>
        <x:v>SIT</x:v>
      </x:c>
      <x:c r="H92" s="2" t="str">
        <x:f>Reporting!G84</x:f>
        <x:v>AVRO</x:v>
      </x:c>
      <x:c r="I92" s="2" t="str">
        <x:f>Reporting!C84</x:f>
        <x:v>OA3_002</x:v>
      </x:c>
      <x:c r="J92" s="2" t="str">
        <x:f>Reporting!I84</x:f>
        <x:v>v1.3.0</x:v>
      </x:c>
      <x:c r="K92" s="2" t="str">
        <x:f>Reporting!Q84</x:f>
        <x:v>Prêt</x:v>
      </x:c>
      <x:c r="L92" s="2" t="str">
        <x:f>Reporting!R84</x:f>
        <x:v>OK</x:v>
      </x:c>
      <x:c r="M92" s="2" t="str">
        <x:f>Reporting!H84</x:f>
        <x:v>Livré</x:v>
      </x:c>
      <x:c r="N92" s="2" t="n">
        <x:f>Reporting!K84</x:f>
        <x:v>0</x:v>
      </x:c>
    </x:row>
    <x:row r="93">
      <x:c r="A93" s="2" t="str">
        <x:f>Reporting!O85</x:f>
        <x:v>Sprint 21</x:v>
      </x:c>
      <x:c r="B93" s="2" t="str">
        <x:f>Reporting!P85</x:f>
        <x:v>Semaine 2</x:v>
      </x:c>
      <x:c r="C93" s="2" t="str">
        <x:f>Reporting!A85</x:f>
        <x:v>2026-W32</x:v>
      </x:c>
      <x:c r="D93" s="2" t="str">
        <x:f>Reporting!L85</x:f>
        <x:v>Réel</x:v>
      </x:c>
      <x:c r="E93" s="2" t="str">
        <x:f>Reporting!D85</x:f>
        <x:v>Issuing</x:v>
      </x:c>
      <x:c r="F93" s="2" t="str">
        <x:f>Reporting!E85</x:f>
        <x:v>Contestation</x:v>
      </x:c>
      <x:c r="G93" s="2" t="str">
        <x:f>Reporting!F85</x:f>
        <x:v>SIT</x:v>
      </x:c>
      <x:c r="H93" s="2" t="str">
        <x:f>Reporting!G85</x:f>
        <x:v>AVRO</x:v>
      </x:c>
      <x:c r="I93" s="2" t="str">
        <x:f>Reporting!C85</x:f>
        <x:v>CNT-EM6</x:v>
      </x:c>
      <x:c r="J93" s="2" t="str">
        <x:f>Reporting!I85</x:f>
        <x:v>v1.7</x:v>
      </x:c>
      <x:c r="K93" s="2" t="str">
        <x:f>Reporting!Q85</x:f>
        <x:v>Prêt</x:v>
      </x:c>
      <x:c r="L93" s="2" t="str">
        <x:f>Reporting!R85</x:f>
        <x:v>OK</x:v>
      </x:c>
      <x:c r="M93" s="2" t="str">
        <x:f>Reporting!H85</x:f>
        <x:v>Livré</x:v>
      </x:c>
      <x:c r="N93" s="2" t="n">
        <x:f>Reporting!K85</x:f>
        <x:v>0</x:v>
      </x:c>
    </x:row>
    <x:row r="94">
      <x:c r="A94" s="2" t="str">
        <x:f>Reporting!O86</x:f>
        <x:v>Sprint 21</x:v>
      </x:c>
      <x:c r="B94" s="2" t="str">
        <x:f>Reporting!P86</x:f>
        <x:v>Semaine 2</x:v>
      </x:c>
      <x:c r="C94" s="2" t="str">
        <x:f>Reporting!A86</x:f>
        <x:v>2026-W32</x:v>
      </x:c>
      <x:c r="D94" s="2" t="str">
        <x:f>Reporting!L86</x:f>
        <x:v>Réel</x:v>
      </x:c>
      <x:c r="E94" s="2" t="str">
        <x:f>Reporting!D86</x:f>
        <x:v>Issuing</x:v>
      </x:c>
      <x:c r="F94" s="2" t="str">
        <x:f>Reporting!E86</x:f>
        <x:v>Contestation</x:v>
      </x:c>
      <x:c r="G94" s="2" t="str">
        <x:f>Reporting!F86</x:f>
        <x:v>SIT</x:v>
      </x:c>
      <x:c r="H94" s="2" t="str">
        <x:f>Reporting!G86</x:f>
        <x:v>AVRO</x:v>
      </x:c>
      <x:c r="I94" s="2" t="str">
        <x:f>Reporting!C86</x:f>
        <x:v>CNT-EM9</x:v>
      </x:c>
      <x:c r="J94" s="2" t="str">
        <x:f>Reporting!I86</x:f>
        <x:v>v1.7</x:v>
      </x:c>
      <x:c r="K94" s="2" t="str">
        <x:f>Reporting!Q86</x:f>
        <x:v>Prêt</x:v>
      </x:c>
      <x:c r="L94" s="2" t="str">
        <x:f>Reporting!R86</x:f>
        <x:v>OK</x:v>
      </x:c>
      <x:c r="M94" s="2" t="str">
        <x:f>Reporting!H86</x:f>
        <x:v>Livré</x:v>
      </x:c>
      <x:c r="N94" s="2" t="n">
        <x:f>Reporting!K86</x:f>
        <x:v>0</x:v>
      </x:c>
    </x:row>
    <x:row r="95">
      <x:c r="A95" s="2" t="str">
        <x:f>Reporting!O87</x:f>
        <x:v>Sprint 21</x:v>
      </x:c>
      <x:c r="B95" s="2" t="str">
        <x:f>Reporting!P87</x:f>
        <x:v>Semaine 2</x:v>
      </x:c>
      <x:c r="C95" s="2" t="str">
        <x:f>Reporting!A87</x:f>
        <x:v>2026-W32</x:v>
      </x:c>
      <x:c r="D95" s="2" t="str">
        <x:f>Reporting!L87</x:f>
        <x:v>Réel</x:v>
      </x:c>
      <x:c r="E95" s="2" t="str">
        <x:f>Reporting!D87</x:f>
        <x:v>Issuing</x:v>
      </x:c>
      <x:c r="F95" s="2" t="str">
        <x:f>Reporting!E87</x:f>
        <x:v>Contestation</x:v>
      </x:c>
      <x:c r="G95" s="2" t="str">
        <x:f>Reporting!F87</x:f>
        <x:v>SIT</x:v>
      </x:c>
      <x:c r="H95" s="2" t="str">
        <x:f>Reporting!G87</x:f>
        <x:v>AVRO</x:v>
      </x:c>
      <x:c r="I95" s="2" t="str">
        <x:f>Reporting!C87</x:f>
        <x:v>CNT-EM15</x:v>
      </x:c>
      <x:c r="J95" s="2" t="str">
        <x:f>Reporting!I87</x:f>
        <x:v>v1.7</x:v>
      </x:c>
      <x:c r="K95" s="2" t="str">
        <x:f>Reporting!Q87</x:f>
        <x:v>Prêt</x:v>
      </x:c>
      <x:c r="L95" s="2" t="str">
        <x:f>Reporting!R87</x:f>
        <x:v>OK</x:v>
      </x:c>
      <x:c r="M95" s="2" t="str">
        <x:f>Reporting!H87</x:f>
        <x:v>Livré</x:v>
      </x:c>
      <x:c r="N95" s="2" t="n">
        <x:f>Reporting!K87</x:f>
        <x:v>0</x:v>
      </x:c>
    </x:row>
    <x:row r="96">
      <x:c r="A96" s="2" t="str">
        <x:f>Reporting!O88</x:f>
        <x:v>Sprint 21</x:v>
      </x:c>
      <x:c r="B96" s="2" t="str">
        <x:f>Reporting!P88</x:f>
        <x:v>Semaine 2</x:v>
      </x:c>
      <x:c r="C96" s="2" t="str">
        <x:f>Reporting!A88</x:f>
        <x:v>2026-W32</x:v>
      </x:c>
      <x:c r="D96" s="2" t="str">
        <x:f>Reporting!L88</x:f>
        <x:v>Réel</x:v>
      </x:c>
      <x:c r="E96" s="2" t="str">
        <x:f>Reporting!D88</x:f>
        <x:v>Issuing</x:v>
      </x:c>
      <x:c r="F96" s="2" t="str">
        <x:f>Reporting!E88</x:f>
        <x:v>Contestation</x:v>
      </x:c>
      <x:c r="G96" s="2" t="str">
        <x:f>Reporting!F88</x:f>
        <x:v>SIT</x:v>
      </x:c>
      <x:c r="H96" s="2" t="str">
        <x:f>Reporting!G88</x:f>
        <x:v>AVRO</x:v>
      </x:c>
      <x:c r="I96" s="2" t="str">
        <x:f>Reporting!C88</x:f>
        <x:v>CNT-EM18</x:v>
      </x:c>
      <x:c r="J96" s="2" t="str">
        <x:f>Reporting!I88</x:f>
        <x:v>v1.7</x:v>
      </x:c>
      <x:c r="K96" s="2" t="str">
        <x:f>Reporting!Q88</x:f>
        <x:v>Prêt</x:v>
      </x:c>
      <x:c r="L96" s="2" t="str">
        <x:f>Reporting!R88</x:f>
        <x:v>OK</x:v>
      </x:c>
      <x:c r="M96" s="2" t="str">
        <x:f>Reporting!H88</x:f>
        <x:v>Livré</x:v>
      </x:c>
      <x:c r="N96" s="2" t="n">
        <x:f>Reporting!K88</x:f>
        <x:v>0</x:v>
      </x:c>
    </x:row>
    <x:row r="97">
      <x:c r="A97" s="2" t="str">
        <x:f>Reporting!O89</x:f>
        <x:v>Sprint 21</x:v>
      </x:c>
      <x:c r="B97" s="2" t="str">
        <x:f>Reporting!P89</x:f>
        <x:v>Semaine 2</x:v>
      </x:c>
      <x:c r="C97" s="2" t="str">
        <x:f>Reporting!A89</x:f>
        <x:v>2026-W32</x:v>
      </x:c>
      <x:c r="D97" s="2" t="str">
        <x:f>Reporting!L89</x:f>
        <x:v>Réel</x:v>
      </x:c>
      <x:c r="E97" s="2" t="str">
        <x:f>Reporting!D89</x:f>
        <x:v>Issuing</x:v>
      </x:c>
      <x:c r="F97" s="2" t="str">
        <x:f>Reporting!E89</x:f>
        <x:v>GED</x:v>
      </x:c>
      <x:c r="G97" s="2" t="str">
        <x:f>Reporting!F89</x:f>
        <x:v>SIT</x:v>
      </x:c>
      <x:c r="H97" s="2" t="str">
        <x:f>Reporting!G89</x:f>
        <x:v>AVRO</x:v>
      </x:c>
      <x:c r="I97" s="2" t="str">
        <x:f>Reporting!C89</x:f>
        <x:v>DMS12-1</x:v>
      </x:c>
      <x:c r="J97" s="2" t="n">
        <x:f>Reporting!I89</x:f>
        <x:v>0</x:v>
      </x:c>
      <x:c r="K97" s="2" t="str">
        <x:f>Reporting!Q89</x:f>
        <x:v>Prêt</x:v>
      </x:c>
      <x:c r="L97" s="2" t="str">
        <x:f>Reporting!R89</x:f>
        <x:v>OK</x:v>
      </x:c>
      <x:c r="M97" s="2" t="str">
        <x:f>Reporting!H89</x:f>
        <x:v>Livré</x:v>
      </x:c>
      <x:c r="N97" s="2" t="n">
        <x:f>Reporting!K89</x:f>
        <x:v>0</x:v>
      </x:c>
    </x:row>
    <x:row r="98">
      <x:c r="A98" s="2" t="str">
        <x:f>Reporting!O90</x:f>
        <x:v>Sprint 21</x:v>
      </x:c>
      <x:c r="B98" s="2" t="str">
        <x:f>Reporting!P90</x:f>
        <x:v>Semaine 2</x:v>
      </x:c>
      <x:c r="C98" s="2" t="str">
        <x:f>Reporting!A90</x:f>
        <x:v>2026-W32</x:v>
      </x:c>
      <x:c r="D98" s="2" t="str">
        <x:f>Reporting!L90</x:f>
        <x:v>Réel</x:v>
      </x:c>
      <x:c r="E98" s="2" t="str">
        <x:f>Reporting!D90</x:f>
        <x:v>Issuing</x:v>
      </x:c>
      <x:c r="F98" s="2" t="str">
        <x:f>Reporting!E90</x:f>
        <x:v>GED</x:v>
      </x:c>
      <x:c r="G98" s="2" t="str">
        <x:f>Reporting!F90</x:f>
        <x:v>SIT</x:v>
      </x:c>
      <x:c r="H98" s="2" t="str">
        <x:f>Reporting!G90</x:f>
        <x:v>AVRO</x:v>
      </x:c>
      <x:c r="I98" s="2" t="str">
        <x:f>Reporting!C90</x:f>
        <x:v>DMS12-2</x:v>
      </x:c>
      <x:c r="J98" s="2" t="n">
        <x:f>Reporting!I90</x:f>
        <x:v>0</x:v>
      </x:c>
      <x:c r="K98" s="2" t="str">
        <x:f>Reporting!Q90</x:f>
        <x:v>Prêt</x:v>
      </x:c>
      <x:c r="L98" s="2" t="str">
        <x:f>Reporting!R90</x:f>
        <x:v>OK</x:v>
      </x:c>
      <x:c r="M98" s="2" t="str">
        <x:f>Reporting!H90</x:f>
        <x:v>Livré</x:v>
      </x:c>
      <x:c r="N98" s="2" t="n">
        <x:f>Reporting!K90</x:f>
        <x:v>0</x:v>
      </x:c>
    </x:row>
    <x:row r="99">
      <x:c r="A99" s="2" t="str">
        <x:f>Reporting!O91</x:f>
        <x:v>Sprint 21</x:v>
      </x:c>
      <x:c r="B99" s="2" t="str">
        <x:f>Reporting!P91</x:f>
        <x:v>Semaine 2</x:v>
      </x:c>
      <x:c r="C99" s="2" t="str">
        <x:f>Reporting!A91</x:f>
        <x:v>2026-W32</x:v>
      </x:c>
      <x:c r="D99" s="2" t="str">
        <x:f>Reporting!L91</x:f>
        <x:v>Réel</x:v>
      </x:c>
      <x:c r="E99" s="2" t="str">
        <x:f>Reporting!D91</x:f>
        <x:v>Acquisition</x:v>
      </x:c>
      <x:c r="F99" s="2" t="str">
        <x:f>Reporting!E91</x:f>
        <x:v>Onboarding</x:v>
      </x:c>
      <x:c r="G99" s="2" t="str">
        <x:f>Reporting!F91</x:f>
        <x:v>UAT</x:v>
      </x:c>
      <x:c r="H99" s="2" t="str">
        <x:f>Reporting!G91</x:f>
        <x:v>Configuration</x:v>
      </x:c>
      <x:c r="I99" s="2" t="str">
        <x:f>Reporting!C91</x:f>
        <x:v>MM4-1</x:v>
      </x:c>
      <x:c r="J99" s="2" t="str">
        <x:f>Reporting!I91</x:f>
        <x:v>v1.5.0</x:v>
      </x:c>
      <x:c r="K99" s="2" t="str">
        <x:f>Reporting!Q91</x:f>
        <x:v>Prêt</x:v>
      </x:c>
      <x:c r="L99" s="2" t="str">
        <x:f>Reporting!R91</x:f>
        <x:v>OK</x:v>
      </x:c>
      <x:c r="M99" s="2" t="str">
        <x:f>Reporting!H91</x:f>
        <x:v>Livré</x:v>
      </x:c>
      <x:c r="N99" s="2" t="n">
        <x:f>Reporting!K91</x:f>
        <x:v>0</x:v>
      </x:c>
    </x:row>
    <x:row r="100">
      <x:c r="A100" s="2" t="str">
        <x:f>Reporting!O92</x:f>
        <x:v>Sprint 21</x:v>
      </x:c>
      <x:c r="B100" s="2" t="str">
        <x:f>Reporting!P92</x:f>
        <x:v>Semaine 2</x:v>
      </x:c>
      <x:c r="C100" s="2" t="str">
        <x:f>Reporting!A92</x:f>
        <x:v>2026-W32</x:v>
      </x:c>
      <x:c r="D100" s="2" t="str">
        <x:f>Reporting!L92</x:f>
        <x:v>Réel</x:v>
      </x:c>
      <x:c r="E100" s="2" t="str">
        <x:f>Reporting!D92</x:f>
        <x:v>Acquisition</x:v>
      </x:c>
      <x:c r="F100" s="2" t="str">
        <x:f>Reporting!E92</x:f>
        <x:v>Onboarding</x:v>
      </x:c>
      <x:c r="G100" s="2" t="str">
        <x:f>Reporting!F92</x:f>
        <x:v>UAT</x:v>
      </x:c>
      <x:c r="H100" s="2" t="str">
        <x:f>Reporting!G92</x:f>
        <x:v>Configuration</x:v>
      </x:c>
      <x:c r="I100" s="2" t="str">
        <x:f>Reporting!C92</x:f>
        <x:v>MM4-2</x:v>
      </x:c>
      <x:c r="J100" s="2" t="str">
        <x:f>Reporting!I92</x:f>
        <x:v>v1.5.0</x:v>
      </x:c>
      <x:c r="K100" s="2" t="str">
        <x:f>Reporting!Q92</x:f>
        <x:v>Prêt</x:v>
      </x:c>
      <x:c r="L100" s="2" t="str">
        <x:f>Reporting!R92</x:f>
        <x:v>OK</x:v>
      </x:c>
      <x:c r="M100" s="2" t="str">
        <x:f>Reporting!H92</x:f>
        <x:v>Livré</x:v>
      </x:c>
      <x:c r="N100" s="2" t="n">
        <x:f>Reporting!K92</x:f>
        <x:v>0</x:v>
      </x:c>
    </x:row>
    <x:row r="101">
      <x:c r="A101" s="2" t="str">
        <x:f>Reporting!O93</x:f>
        <x:v>Sprint 21</x:v>
      </x:c>
      <x:c r="B101" s="2" t="str">
        <x:f>Reporting!P93</x:f>
        <x:v>Semaine 2</x:v>
      </x:c>
      <x:c r="C101" s="2" t="str">
        <x:f>Reporting!A93</x:f>
        <x:v>2026-W32</x:v>
      </x:c>
      <x:c r="D101" s="2" t="str">
        <x:f>Reporting!L93</x:f>
        <x:v>Réel</x:v>
      </x:c>
      <x:c r="E101" s="2" t="str">
        <x:f>Reporting!D93</x:f>
        <x:v>Acquisition</x:v>
      </x:c>
      <x:c r="F101" s="2" t="str">
        <x:f>Reporting!E93</x:f>
        <x:v>Onboarding</x:v>
      </x:c>
      <x:c r="G101" s="2" t="str">
        <x:f>Reporting!F93</x:f>
        <x:v>UAT</x:v>
      </x:c>
      <x:c r="H101" s="2" t="str">
        <x:f>Reporting!G93</x:f>
        <x:v>Configuration</x:v>
      </x:c>
      <x:c r="I101" s="2" t="str">
        <x:f>Reporting!C93</x:f>
        <x:v>MM4-3</x:v>
      </x:c>
      <x:c r="J101" s="2" t="str">
        <x:f>Reporting!I93</x:f>
        <x:v>v1.5.0</x:v>
      </x:c>
      <x:c r="K101" s="2" t="str">
        <x:f>Reporting!Q93</x:f>
        <x:v>Prêt</x:v>
      </x:c>
      <x:c r="L101" s="2" t="str">
        <x:f>Reporting!R93</x:f>
        <x:v>OK</x:v>
      </x:c>
      <x:c r="M101" s="2" t="str">
        <x:f>Reporting!H93</x:f>
        <x:v>Livré</x:v>
      </x:c>
      <x:c r="N101" s="2" t="n">
        <x:f>Reporting!K93</x:f>
        <x:v>0</x:v>
      </x:c>
    </x:row>
    <x:row r="102">
      <x:c r="A102" s="2" t="str">
        <x:f>Reporting!O94</x:f>
        <x:v>Sprint 21</x:v>
      </x:c>
      <x:c r="B102" s="2" t="str">
        <x:f>Reporting!P94</x:f>
        <x:v>Semaine 2</x:v>
      </x:c>
      <x:c r="C102" s="2" t="str">
        <x:f>Reporting!A94</x:f>
        <x:v>2026-W32</x:v>
      </x:c>
      <x:c r="D102" s="2" t="str">
        <x:f>Reporting!L94</x:f>
        <x:v>Réel</x:v>
      </x:c>
      <x:c r="E102" s="2" t="str">
        <x:f>Reporting!D94</x:f>
        <x:v>Acquisition</x:v>
      </x:c>
      <x:c r="F102" s="2" t="str">
        <x:f>Reporting!E94</x:f>
        <x:v>Onboarding</x:v>
      </x:c>
      <x:c r="G102" s="2" t="str">
        <x:f>Reporting!F94</x:f>
        <x:v>UAT</x:v>
      </x:c>
      <x:c r="H102" s="2" t="str">
        <x:f>Reporting!G94</x:f>
        <x:v>Configuration</x:v>
      </x:c>
      <x:c r="I102" s="2" t="str">
        <x:f>Reporting!C94</x:f>
        <x:v>MM4-4</x:v>
      </x:c>
      <x:c r="J102" s="2" t="str">
        <x:f>Reporting!I94</x:f>
        <x:v>v1.5.0</x:v>
      </x:c>
      <x:c r="K102" s="2" t="str">
        <x:f>Reporting!Q94</x:f>
        <x:v>Prêt</x:v>
      </x:c>
      <x:c r="L102" s="2" t="str">
        <x:f>Reporting!R94</x:f>
        <x:v>OK</x:v>
      </x:c>
      <x:c r="M102" s="2" t="str">
        <x:f>Reporting!H94</x:f>
        <x:v>Livré</x:v>
      </x:c>
      <x:c r="N102" s="2" t="n">
        <x:f>Reporting!K94</x:f>
        <x:v>0</x:v>
      </x:c>
    </x:row>
    <x:row r="103">
      <x:c r="A103" s="2" t="str">
        <x:f>Reporting!O95</x:f>
        <x:v>Sprint 21</x:v>
      </x:c>
      <x:c r="B103" s="2" t="str">
        <x:f>Reporting!P95</x:f>
        <x:v>Semaine 2</x:v>
      </x:c>
      <x:c r="C103" s="2" t="str">
        <x:f>Reporting!A95</x:f>
        <x:v>2026-W32</x:v>
      </x:c>
      <x:c r="D103" s="2" t="str">
        <x:f>Reporting!L95</x:f>
        <x:v>Réel</x:v>
      </x:c>
      <x:c r="E103" s="2" t="str">
        <x:f>Reporting!D95</x:f>
        <x:v>Acquisition</x:v>
      </x:c>
      <x:c r="F103" s="2" t="str">
        <x:f>Reporting!E95</x:f>
        <x:v>Onboarding</x:v>
      </x:c>
      <x:c r="G103" s="2" t="str">
        <x:f>Reporting!F95</x:f>
        <x:v>UAT</x:v>
      </x:c>
      <x:c r="H103" s="2" t="str">
        <x:f>Reporting!G95</x:f>
        <x:v>Configuration</x:v>
      </x:c>
      <x:c r="I103" s="2" t="str">
        <x:f>Reporting!C95</x:f>
        <x:v>MM4-5</x:v>
      </x:c>
      <x:c r="J103" s="2" t="str">
        <x:f>Reporting!I95</x:f>
        <x:v>v1.5.0</x:v>
      </x:c>
      <x:c r="K103" s="2" t="str">
        <x:f>Reporting!Q95</x:f>
        <x:v>Prêt</x:v>
      </x:c>
      <x:c r="L103" s="2" t="str">
        <x:f>Reporting!R95</x:f>
        <x:v>OK</x:v>
      </x:c>
      <x:c r="M103" s="2" t="str">
        <x:f>Reporting!H95</x:f>
        <x:v>Livré</x:v>
      </x:c>
      <x:c r="N103" s="2" t="n">
        <x:f>Reporting!K95</x:f>
        <x:v>0</x:v>
      </x:c>
    </x:row>
    <x:row r="104">
      <x:c r="A104" s="2" t="str">
        <x:f>Reporting!O96</x:f>
        <x:v>Sprint 21</x:v>
      </x:c>
      <x:c r="B104" s="2" t="str">
        <x:f>Reporting!P96</x:f>
        <x:v>Semaine 2</x:v>
      </x:c>
      <x:c r="C104" s="2" t="str">
        <x:f>Reporting!A96</x:f>
        <x:v>2026-W32</x:v>
      </x:c>
      <x:c r="D104" s="2" t="str">
        <x:f>Reporting!L96</x:f>
        <x:v>Réel</x:v>
      </x:c>
      <x:c r="E104" s="2" t="str">
        <x:f>Reporting!D96</x:f>
        <x:v>Acquisition</x:v>
      </x:c>
      <x:c r="F104" s="2" t="str">
        <x:f>Reporting!E96</x:f>
        <x:v>Onboarding</x:v>
      </x:c>
      <x:c r="G104" s="2" t="str">
        <x:f>Reporting!F96</x:f>
        <x:v>UAT</x:v>
      </x:c>
      <x:c r="H104" s="2" t="str">
        <x:f>Reporting!G96</x:f>
        <x:v>AVRO</x:v>
      </x:c>
      <x:c r="I104" s="2" t="str">
        <x:f>Reporting!C96</x:f>
        <x:v>MM5-1</x:v>
      </x:c>
      <x:c r="J104" s="2" t="str">
        <x:f>Reporting!I96</x:f>
        <x:v>v0.1.1 / v1.5.1 / v1.5.0</x:v>
      </x:c>
      <x:c r="K104" s="2" t="str">
        <x:f>Reporting!Q96</x:f>
        <x:v>Prêt</x:v>
      </x:c>
      <x:c r="L104" s="2" t="str">
        <x:f>Reporting!R96</x:f>
        <x:v>OK</x:v>
      </x:c>
      <x:c r="M104" s="2" t="str">
        <x:f>Reporting!H96</x:f>
        <x:v>Livré</x:v>
      </x:c>
      <x:c r="N104" s="2" t="str">
        <x:f>Reporting!K96</x:f>
        <x:v>Versions livrées consolidées sur une seule ligne</x:v>
      </x:c>
    </x:row>
    <x:row r="105">
      <x:c r="A105" s="2" t="str">
        <x:f>Reporting!O97</x:f>
        <x:v>Sprint 21</x:v>
      </x:c>
      <x:c r="B105" s="2" t="str">
        <x:f>Reporting!P97</x:f>
        <x:v>Semaine 2</x:v>
      </x:c>
      <x:c r="C105" s="2" t="str">
        <x:f>Reporting!A97</x:f>
        <x:v>2026-W32</x:v>
      </x:c>
      <x:c r="D105" s="2" t="str">
        <x:f>Reporting!L97</x:f>
        <x:v>Réel</x:v>
      </x:c>
      <x:c r="E105" s="2" t="str">
        <x:f>Reporting!D97</x:f>
        <x:v>Acquisition</x:v>
      </x:c>
      <x:c r="F105" s="2" t="str">
        <x:f>Reporting!E97</x:f>
        <x:v>Onboarding</x:v>
      </x:c>
      <x:c r="G105" s="2" t="str">
        <x:f>Reporting!F97</x:f>
        <x:v>UAT</x:v>
      </x:c>
      <x:c r="H105" s="2" t="str">
        <x:f>Reporting!G97</x:f>
        <x:v>AVRO</x:v>
      </x:c>
      <x:c r="I105" s="2" t="str">
        <x:f>Reporting!C97</x:f>
        <x:v>MM5-2</x:v>
      </x:c>
      <x:c r="J105" s="2" t="str">
        <x:f>Reporting!I97</x:f>
        <x:v>v0.1.1 / v1.5.1 / v1.5.0</x:v>
      </x:c>
      <x:c r="K105" s="2" t="str">
        <x:f>Reporting!Q97</x:f>
        <x:v>Prêt</x:v>
      </x:c>
      <x:c r="L105" s="2" t="str">
        <x:f>Reporting!R97</x:f>
        <x:v>OK</x:v>
      </x:c>
      <x:c r="M105" s="2" t="str">
        <x:f>Reporting!H97</x:f>
        <x:v>Livré</x:v>
      </x:c>
      <x:c r="N105" s="2" t="str">
        <x:f>Reporting!K97</x:f>
        <x:v>Versions livrées consolidées sur une seule ligne</x:v>
      </x:c>
    </x:row>
    <x:row r="106">
      <x:c r="A106" s="2" t="str">
        <x:f>Reporting!O98</x:f>
        <x:v>Sprint 21</x:v>
      </x:c>
      <x:c r="B106" s="2" t="str">
        <x:f>Reporting!P98</x:f>
        <x:v>Semaine 2</x:v>
      </x:c>
      <x:c r="C106" s="2" t="str">
        <x:f>Reporting!A98</x:f>
        <x:v>2026-W32</x:v>
      </x:c>
      <x:c r="D106" s="2" t="str">
        <x:f>Reporting!L98</x:f>
        <x:v>Réel</x:v>
      </x:c>
      <x:c r="E106" s="2" t="str">
        <x:f>Reporting!D98</x:f>
        <x:v>Acquisition</x:v>
      </x:c>
      <x:c r="F106" s="2" t="str">
        <x:f>Reporting!E98</x:f>
        <x:v>Onboarding</x:v>
      </x:c>
      <x:c r="G106" s="2" t="str">
        <x:f>Reporting!F98</x:f>
        <x:v>UAT</x:v>
      </x:c>
      <x:c r="H106" s="2" t="str">
        <x:f>Reporting!G98</x:f>
        <x:v>AVRO</x:v>
      </x:c>
      <x:c r="I106" s="2" t="str">
        <x:f>Reporting!C98</x:f>
        <x:v>MM5-3</x:v>
      </x:c>
      <x:c r="J106" s="2" t="str">
        <x:f>Reporting!I98</x:f>
        <x:v>v0.1.1 / v1.5.1 / v1.5.0</x:v>
      </x:c>
      <x:c r="K106" s="2" t="str">
        <x:f>Reporting!Q98</x:f>
        <x:v>Prêt</x:v>
      </x:c>
      <x:c r="L106" s="2" t="str">
        <x:f>Reporting!R98</x:f>
        <x:v>OK</x:v>
      </x:c>
      <x:c r="M106" s="2" t="str">
        <x:f>Reporting!H98</x:f>
        <x:v>Livré</x:v>
      </x:c>
      <x:c r="N106" s="2" t="str">
        <x:f>Reporting!K98</x:f>
        <x:v>Versions livrées consolidées sur une seule ligne</x:v>
      </x:c>
    </x:row>
    <x:row r="107">
      <x:c r="A107" s="2" t="str">
        <x:f>Reporting!O99</x:f>
        <x:v>Sprint 21</x:v>
      </x:c>
      <x:c r="B107" s="2" t="str">
        <x:f>Reporting!P99</x:f>
        <x:v>Semaine 2</x:v>
      </x:c>
      <x:c r="C107" s="2" t="str">
        <x:f>Reporting!A99</x:f>
        <x:v>2026-W32</x:v>
      </x:c>
      <x:c r="D107" s="2" t="str">
        <x:f>Reporting!L99</x:f>
        <x:v>Réel</x:v>
      </x:c>
      <x:c r="E107" s="2" t="str">
        <x:f>Reporting!D99</x:f>
        <x:v>Acquisition</x:v>
      </x:c>
      <x:c r="F107" s="2" t="str">
        <x:f>Reporting!E99</x:f>
        <x:v>Onboarding</x:v>
      </x:c>
      <x:c r="G107" s="2" t="str">
        <x:f>Reporting!F99</x:f>
        <x:v>UAT</x:v>
      </x:c>
      <x:c r="H107" s="2" t="str">
        <x:f>Reporting!G99</x:f>
        <x:v>AVRO</x:v>
      </x:c>
      <x:c r="I107" s="2" t="str">
        <x:f>Reporting!C99</x:f>
        <x:v>MM5-4</x:v>
      </x:c>
      <x:c r="J107" s="2" t="str">
        <x:f>Reporting!I99</x:f>
        <x:v>v0.1.1 / v1.5.1 / v1.5.0</x:v>
      </x:c>
      <x:c r="K107" s="2" t="str">
        <x:f>Reporting!Q99</x:f>
        <x:v>Prêt</x:v>
      </x:c>
      <x:c r="L107" s="2" t="str">
        <x:f>Reporting!R99</x:f>
        <x:v>OK</x:v>
      </x:c>
      <x:c r="M107" s="2" t="str">
        <x:f>Reporting!H99</x:f>
        <x:v>Livré</x:v>
      </x:c>
      <x:c r="N107" s="2" t="str">
        <x:f>Reporting!K99</x:f>
        <x:v>Versions livrées consolidées sur une seule ligne</x:v>
      </x:c>
    </x:row>
    <x:row r="108">
      <x:c r="A108" s="2" t="str">
        <x:f>Reporting!O100</x:f>
        <x:v>Sprint 21</x:v>
      </x:c>
      <x:c r="B108" s="2" t="str">
        <x:f>Reporting!P100</x:f>
        <x:v>Semaine 2</x:v>
      </x:c>
      <x:c r="C108" s="2" t="str">
        <x:f>Reporting!A100</x:f>
        <x:v>2026-W32</x:v>
      </x:c>
      <x:c r="D108" s="2" t="str">
        <x:f>Reporting!L100</x:f>
        <x:v>Réel</x:v>
      </x:c>
      <x:c r="E108" s="2" t="str">
        <x:f>Reporting!D100</x:f>
        <x:v>Acquisition</x:v>
      </x:c>
      <x:c r="F108" s="2" t="str">
        <x:f>Reporting!E100</x:f>
        <x:v>Onboarding</x:v>
      </x:c>
      <x:c r="G108" s="2" t="str">
        <x:f>Reporting!F100</x:f>
        <x:v>UAT</x:v>
      </x:c>
      <x:c r="H108" s="2" t="str">
        <x:f>Reporting!G100</x:f>
        <x:v>AVRO</x:v>
      </x:c>
      <x:c r="I108" s="2" t="str">
        <x:f>Reporting!C100</x:f>
        <x:v>MM5-5</x:v>
      </x:c>
      <x:c r="J108" s="2" t="str">
        <x:f>Reporting!I100</x:f>
        <x:v>v0.1.1 / v1.5.1 / v1.5.0</x:v>
      </x:c>
      <x:c r="K108" s="2" t="str">
        <x:f>Reporting!Q100</x:f>
        <x:v>Prêt</x:v>
      </x:c>
      <x:c r="L108" s="2" t="str">
        <x:f>Reporting!R100</x:f>
        <x:v>OK</x:v>
      </x:c>
      <x:c r="M108" s="2" t="str">
        <x:f>Reporting!H100</x:f>
        <x:v>Livré</x:v>
      </x:c>
      <x:c r="N108" s="2" t="str">
        <x:f>Reporting!K100</x:f>
        <x:v>Versions livrées consolidées sur une seule ligne</x:v>
      </x:c>
    </x:row>
    <x:row r="109">
      <x:c r="A109" s="5" t="str">
        <x:f>Reporting!O101</x:f>
        <x:v>Sprint 21</x:v>
      </x:c>
      <x:c r="B109" s="5" t="str">
        <x:f>Reporting!P101</x:f>
        <x:v>Semaine 2</x:v>
      </x:c>
      <x:c r="C109" s="5" t="str">
        <x:f>Reporting!A101</x:f>
        <x:v>2026-W32</x:v>
      </x:c>
      <x:c r="D109" s="5" t="str">
        <x:f>Reporting!L101</x:f>
        <x:v>Réel</x:v>
      </x:c>
      <x:c r="E109" s="5" t="str">
        <x:f>Reporting!D101</x:f>
        <x:v>Acquisition</x:v>
      </x:c>
      <x:c r="F109" s="5" t="str">
        <x:f>Reporting!E101</x:f>
        <x:v>Onboarding</x:v>
      </x:c>
      <x:c r="G109" s="5" t="str">
        <x:f>Reporting!F101</x:f>
        <x:v>UAT</x:v>
      </x:c>
      <x:c r="H109" s="5" t="str">
        <x:f>Reporting!G101</x:f>
        <x:v>AVRO</x:v>
      </x:c>
      <x:c r="I109" s="5" t="str">
        <x:f>Reporting!C101</x:f>
        <x:v>MM7</x:v>
      </x:c>
      <x:c r="J109" s="5" t="str">
        <x:f>Reporting!I101</x:f>
        <x:v>v0.1.1 / v1.5.1 / v1.5</x:v>
      </x:c>
      <x:c r="K109" s="5" t="str">
        <x:f>Reporting!Q101</x:f>
        <x:v>En cours</x:v>
      </x:c>
      <x:c r="L109" s="5" t="str">
        <x:f>Reporting!R101</x:f>
        <x:v>En cours</x:v>
      </x:c>
      <x:c r="M109" s="5" t="str">
        <x:f>Reporting!H101</x:f>
        <x:v>En cours</x:v>
      </x:c>
      <x:c r="N109" s="5" t="n">
        <x:f>Reporting!K101</x:f>
        <x:v>0</x:v>
      </x:c>
    </x:row>
    <x:row r="110">
      <x:c r="A110" s="5" t="str">
        <x:f>Reporting!O102</x:f>
        <x:v>Sprint 21</x:v>
      </x:c>
      <x:c r="B110" s="5" t="str">
        <x:f>Reporting!P102</x:f>
        <x:v>Semaine 2</x:v>
      </x:c>
      <x:c r="C110" s="5" t="str">
        <x:f>Reporting!A102</x:f>
        <x:v>2026-W32</x:v>
      </x:c>
      <x:c r="D110" s="5" t="str">
        <x:f>Reporting!L102</x:f>
        <x:v>Réel</x:v>
      </x:c>
      <x:c r="E110" s="5" t="str">
        <x:f>Reporting!D102</x:f>
        <x:v>Acquisition</x:v>
      </x:c>
      <x:c r="F110" s="5" t="str">
        <x:f>Reporting!E102</x:f>
        <x:v>Authorize</x:v>
      </x:c>
      <x:c r="G110" s="5" t="str">
        <x:f>Reporting!F102</x:f>
        <x:v>UAT</x:v>
      </x:c>
      <x:c r="H110" s="5" t="str">
        <x:f>Reporting!G102</x:f>
        <x:v>AVRO</x:v>
      </x:c>
      <x:c r="I110" s="5" t="str">
        <x:f>Reporting!C102</x:f>
        <x:v>OA5-2</x:v>
      </x:c>
      <x:c r="J110" s="5" t="str">
        <x:f>Reporting!I102</x:f>
        <x:v>v1.14</x:v>
      </x:c>
      <x:c r="K110" s="5" t="str">
        <x:f>Reporting!Q102</x:f>
        <x:v>Prêt</x:v>
      </x:c>
      <x:c r="L110" s="5" t="str">
        <x:f>Reporting!R102</x:f>
        <x:v>OK</x:v>
      </x:c>
      <x:c r="M110" s="5" t="str">
        <x:f>Reporting!H102</x:f>
        <x:v>Livré</x:v>
      </x:c>
      <x:c r="N110" s="5" t="n">
        <x:f>Reporting!K102</x:f>
        <x:v>0</x:v>
      </x:c>
    </x:row>
    <x:row r="111">
      <x:c r="A111" s="5" t="str">
        <x:f>Reporting!O103</x:f>
        <x:v>Sprint 21</x:v>
      </x:c>
      <x:c r="B111" s="5" t="str">
        <x:f>Reporting!P103</x:f>
        <x:v>Semaine 2</x:v>
      </x:c>
      <x:c r="C111" s="5" t="str">
        <x:f>Reporting!A103</x:f>
        <x:v>2026-W32</x:v>
      </x:c>
      <x:c r="D111" s="5" t="str">
        <x:f>Reporting!L103</x:f>
        <x:v>Réel</x:v>
      </x:c>
      <x:c r="E111" s="5" t="str">
        <x:f>Reporting!D103</x:f>
        <x:v>Acquisition</x:v>
      </x:c>
      <x:c r="F111" s="5" t="str">
        <x:f>Reporting!E103</x:f>
        <x:v>Crédit commerçant</x:v>
      </x:c>
      <x:c r="G111" s="5" t="str">
        <x:f>Reporting!F103</x:f>
        <x:v>UAT</x:v>
      </x:c>
      <x:c r="H111" s="5" t="str">
        <x:f>Reporting!G103</x:f>
        <x:v>AVRO</x:v>
      </x:c>
      <x:c r="I111" s="5" t="str">
        <x:f>Reporting!C103</x:f>
        <x:v>PC06-2</x:v>
      </x:c>
      <x:c r="J111" s="5" t="str">
        <x:f>Reporting!I103</x:f>
        <x:v>v1.10.0</x:v>
      </x:c>
      <x:c r="K111" s="5" t="str">
        <x:f>Reporting!Q103</x:f>
        <x:v>Prêt</x:v>
      </x:c>
      <x:c r="L111" s="5" t="str">
        <x:f>Reporting!R103</x:f>
        <x:v>OK</x:v>
      </x:c>
      <x:c r="M111" s="5" t="str">
        <x:f>Reporting!H103</x:f>
        <x:v>Livré</x:v>
      </x:c>
      <x:c r="N111" s="5" t="n">
        <x:f>Reporting!K103</x:f>
        <x:v>0</x:v>
      </x:c>
    </x:row>
    <x:row r="112">
      <x:c r="A112" s="5" t="str">
        <x:f>Reporting!O104</x:f>
        <x:v>Sprint 21</x:v>
      </x:c>
      <x:c r="B112" s="5" t="str">
        <x:f>Reporting!P104</x:f>
        <x:v>Semaine 2</x:v>
      </x:c>
      <x:c r="C112" s="5" t="str">
        <x:f>Reporting!A104</x:f>
        <x:v>2026-W32</x:v>
      </x:c>
      <x:c r="D112" s="5" t="str">
        <x:f>Reporting!L104</x:f>
        <x:v>Réel</x:v>
      </x:c>
      <x:c r="E112" s="5" t="str">
        <x:f>Reporting!D104</x:f>
        <x:v>Acquisition</x:v>
      </x:c>
      <x:c r="F112" s="5" t="str">
        <x:f>Reporting!E104</x:f>
        <x:v>Crédit commerçant</x:v>
      </x:c>
      <x:c r="G112" s="5" t="str">
        <x:f>Reporting!F104</x:f>
        <x:v>UAT</x:v>
      </x:c>
      <x:c r="H112" s="5" t="str">
        <x:f>Reporting!G104</x:f>
        <x:v>AVRO</x:v>
      </x:c>
      <x:c r="I112" s="5" t="str">
        <x:f>Reporting!C104</x:f>
        <x:v>PC07</x:v>
      </x:c>
      <x:c r="J112" s="5" t="str">
        <x:f>Reporting!I104</x:f>
        <x:v>v1.10.0</x:v>
      </x:c>
      <x:c r="K112" s="5" t="str">
        <x:f>Reporting!Q104</x:f>
        <x:v>Prêt</x:v>
      </x:c>
      <x:c r="L112" s="5" t="str">
        <x:f>Reporting!R104</x:f>
        <x:v>OK</x:v>
      </x:c>
      <x:c r="M112" s="5" t="str">
        <x:f>Reporting!H104</x:f>
        <x:v>Livré</x:v>
      </x:c>
      <x:c r="N112" s="5" t="n">
        <x:f>Reporting!K104</x:f>
        <x:v>0</x:v>
      </x:c>
    </x:row>
    <x:row r="113">
      <x:c r="A113" s="5" t="str">
        <x:f>Reporting!O105</x:f>
        <x:v>Sprint 21</x:v>
      </x:c>
      <x:c r="B113" s="5" t="str">
        <x:f>Reporting!P105</x:f>
        <x:v>Semaine 2</x:v>
      </x:c>
      <x:c r="C113" s="5" t="str">
        <x:f>Reporting!A105</x:f>
        <x:v>2026-W32</x:v>
      </x:c>
      <x:c r="D113" s="5" t="str">
        <x:f>Reporting!L105</x:f>
        <x:v>Réel</x:v>
      </x:c>
      <x:c r="E113" s="5" t="str">
        <x:f>Reporting!D105</x:f>
        <x:v>Issuing</x:v>
      </x:c>
      <x:c r="F113" s="5" t="str">
        <x:f>Reporting!E105</x:f>
        <x:v>Onboarding</x:v>
      </x:c>
      <x:c r="G113" s="5" t="str">
        <x:f>Reporting!F105</x:f>
        <x:v>UAT</x:v>
      </x:c>
      <x:c r="H113" s="5" t="str">
        <x:f>Reporting!G105</x:f>
        <x:v>Configuration</x:v>
      </x:c>
      <x:c r="I113" s="5" t="str">
        <x:f>Reporting!C105</x:f>
        <x:v>CMS4_001</x:v>
      </x:c>
      <x:c r="J113" s="5" t="str">
        <x:f>Reporting!I105</x:f>
        <x:v>v2.9</x:v>
      </x:c>
      <x:c r="K113" s="5" t="str">
        <x:f>Reporting!Q105</x:f>
        <x:v>Prêt</x:v>
      </x:c>
      <x:c r="L113" s="5" t="str">
        <x:f>Reporting!R105</x:f>
        <x:v>OK</x:v>
      </x:c>
      <x:c r="M113" s="5" t="str">
        <x:f>Reporting!H105</x:f>
        <x:v>Livré</x:v>
      </x:c>
      <x:c r="N113" s="5" t="n">
        <x:f>Reporting!K105</x:f>
        <x:v>0</x:v>
      </x:c>
    </x:row>
    <x:row r="114">
      <x:c r="A114" s="5" t="str">
        <x:f>Reporting!O106</x:f>
        <x:v>Sprint 21</x:v>
      </x:c>
      <x:c r="B114" s="5" t="str">
        <x:f>Reporting!P106</x:f>
        <x:v>Semaine 2</x:v>
      </x:c>
      <x:c r="C114" s="5" t="str">
        <x:f>Reporting!A106</x:f>
        <x:v>2026-W32</x:v>
      </x:c>
      <x:c r="D114" s="5" t="str">
        <x:f>Reporting!L106</x:f>
        <x:v>Réel</x:v>
      </x:c>
      <x:c r="E114" s="5" t="str">
        <x:f>Reporting!D106</x:f>
        <x:v>Issuing</x:v>
      </x:c>
      <x:c r="F114" s="5" t="str">
        <x:f>Reporting!E106</x:f>
        <x:v>Onboarding</x:v>
      </x:c>
      <x:c r="G114" s="5" t="str">
        <x:f>Reporting!F106</x:f>
        <x:v>UAT</x:v>
      </x:c>
      <x:c r="H114" s="5" t="str">
        <x:f>Reporting!G106</x:f>
        <x:v>AVRO</x:v>
      </x:c>
      <x:c r="I114" s="5" t="str">
        <x:f>Reporting!C106</x:f>
        <x:v>CMS14_001</x:v>
      </x:c>
      <x:c r="J114" s="5" t="str">
        <x:f>Reporting!I106</x:f>
        <x:v>v1.5</x:v>
      </x:c>
      <x:c r="K114" s="5" t="str">
        <x:f>Reporting!Q106</x:f>
        <x:v>Prêt</x:v>
      </x:c>
      <x:c r="L114" s="5" t="str">
        <x:f>Reporting!R106</x:f>
        <x:v>OK</x:v>
      </x:c>
      <x:c r="M114" s="5" t="str">
        <x:f>Reporting!H106</x:f>
        <x:v>Livré</x:v>
      </x:c>
      <x:c r="N114" s="5" t="n">
        <x:f>Reporting!K106</x:f>
        <x:v>0</x:v>
      </x:c>
    </x:row>
    <x:row r="115">
      <x:c r="A115" s="5" t="str">
        <x:f>Reporting!O107</x:f>
        <x:v>Sprint 21</x:v>
      </x:c>
      <x:c r="B115" s="5" t="str">
        <x:f>Reporting!P107</x:f>
        <x:v>Semaine 2</x:v>
      </x:c>
      <x:c r="C115" s="5" t="str">
        <x:f>Reporting!A107</x:f>
        <x:v>2026-W32</x:v>
      </x:c>
      <x:c r="D115" s="5" t="str">
        <x:f>Reporting!L107</x:f>
        <x:v>Réel</x:v>
      </x:c>
      <x:c r="E115" s="5" t="str">
        <x:f>Reporting!D107</x:f>
        <x:v>Issuing</x:v>
      </x:c>
      <x:c r="F115" s="5" t="str">
        <x:f>Reporting!E107</x:f>
        <x:v>Onboarding</x:v>
      </x:c>
      <x:c r="G115" s="5" t="str">
        <x:f>Reporting!F107</x:f>
        <x:v>UAT</x:v>
      </x:c>
      <x:c r="H115" s="5" t="str">
        <x:f>Reporting!G107</x:f>
        <x:v>AVRO</x:v>
      </x:c>
      <x:c r="I115" s="5" t="str">
        <x:f>Reporting!C107</x:f>
        <x:v>CMS14_002</x:v>
      </x:c>
      <x:c r="J115" s="5" t="str">
        <x:f>Reporting!I107</x:f>
        <x:v>v1.5</x:v>
      </x:c>
      <x:c r="K115" s="5" t="str">
        <x:f>Reporting!Q107</x:f>
        <x:v>Prêt</x:v>
      </x:c>
      <x:c r="L115" s="5" t="str">
        <x:f>Reporting!R107</x:f>
        <x:v>OK</x:v>
      </x:c>
      <x:c r="M115" s="5" t="str">
        <x:f>Reporting!H107</x:f>
        <x:v>Livré</x:v>
      </x:c>
      <x:c r="N115" s="5" t="n">
        <x:f>Reporting!K107</x:f>
        <x:v>0</x:v>
      </x:c>
    </x:row>
    <x:row r="116">
      <x:c r="A116" s="5" t="str">
        <x:f>Reporting!O108</x:f>
        <x:v>Sprint 21</x:v>
      </x:c>
      <x:c r="B116" s="5" t="str">
        <x:f>Reporting!P108</x:f>
        <x:v>Semaine 2</x:v>
      </x:c>
      <x:c r="C116" s="5" t="str">
        <x:f>Reporting!A108</x:f>
        <x:v>2026-W32</x:v>
      </x:c>
      <x:c r="D116" s="5" t="str">
        <x:f>Reporting!L108</x:f>
        <x:v>Réel</x:v>
      </x:c>
      <x:c r="E116" s="5" t="str">
        <x:f>Reporting!D108</x:f>
        <x:v>Issuing</x:v>
      </x:c>
      <x:c r="F116" s="5" t="str">
        <x:f>Reporting!E108</x:f>
        <x:v>Onboarding</x:v>
      </x:c>
      <x:c r="G116" s="5" t="str">
        <x:f>Reporting!F108</x:f>
        <x:v>UAT</x:v>
      </x:c>
      <x:c r="H116" s="5" t="str">
        <x:f>Reporting!G108</x:f>
        <x:v>AVRO</x:v>
      </x:c>
      <x:c r="I116" s="5" t="str">
        <x:f>Reporting!C108</x:f>
        <x:v>CMS20_001</x:v>
      </x:c>
      <x:c r="J116" s="5" t="str">
        <x:f>Reporting!I108</x:f>
        <x:v>v1.3.0</x:v>
      </x:c>
      <x:c r="K116" s="5" t="str">
        <x:f>Reporting!Q108</x:f>
        <x:v>Prêt</x:v>
      </x:c>
      <x:c r="L116" s="5" t="str">
        <x:f>Reporting!R108</x:f>
        <x:v>OK</x:v>
      </x:c>
      <x:c r="M116" s="5" t="str">
        <x:f>Reporting!H108</x:f>
        <x:v>Livré</x:v>
      </x:c>
      <x:c r="N116" s="5" t="n">
        <x:f>Reporting!K108</x:f>
        <x:v>0</x:v>
      </x:c>
    </x:row>
    <x:row r="117">
      <x:c r="A117" s="5" t="str">
        <x:f>Reporting!O109</x:f>
        <x:v>Sprint 21</x:v>
      </x:c>
      <x:c r="B117" s="5" t="str">
        <x:f>Reporting!P109</x:f>
        <x:v>Semaine 2</x:v>
      </x:c>
      <x:c r="C117" s="5" t="str">
        <x:f>Reporting!A109</x:f>
        <x:v>2026-W32</x:v>
      </x:c>
      <x:c r="D117" s="5" t="str">
        <x:f>Reporting!L109</x:f>
        <x:v>Réel</x:v>
      </x:c>
      <x:c r="E117" s="5" t="str">
        <x:f>Reporting!D109</x:f>
        <x:v>Issuing</x:v>
      </x:c>
      <x:c r="F117" s="5" t="str">
        <x:f>Reporting!E109</x:f>
        <x:v>Onboarding</x:v>
      </x:c>
      <x:c r="G117" s="5" t="str">
        <x:f>Reporting!F109</x:f>
        <x:v>UAT</x:v>
      </x:c>
      <x:c r="H117" s="5" t="str">
        <x:f>Reporting!G109</x:f>
        <x:v>AVRO</x:v>
      </x:c>
      <x:c r="I117" s="5" t="str">
        <x:f>Reporting!C109</x:f>
        <x:v>CMS37_001</x:v>
      </x:c>
      <x:c r="J117" s="5" t="str">
        <x:f>Reporting!I109</x:f>
        <x:v>v1.3.0</x:v>
      </x:c>
      <x:c r="K117" s="5" t="str">
        <x:f>Reporting!Q109</x:f>
        <x:v>Prêt</x:v>
      </x:c>
      <x:c r="L117" s="5" t="str">
        <x:f>Reporting!R109</x:f>
        <x:v>OK</x:v>
      </x:c>
      <x:c r="M117" s="5" t="str">
        <x:f>Reporting!H109</x:f>
        <x:v>Livré</x:v>
      </x:c>
      <x:c r="N117" s="5" t="n">
        <x:f>Reporting!K109</x:f>
        <x:v>0</x:v>
      </x:c>
    </x:row>
    <x:row r="118">
      <x:c r="A118" s="5" t="str">
        <x:f>Reporting!O110</x:f>
        <x:v>Sprint 21</x:v>
      </x:c>
      <x:c r="B118" s="5" t="str">
        <x:f>Reporting!P110</x:f>
        <x:v>Semaine 2</x:v>
      </x:c>
      <x:c r="C118" s="5" t="str">
        <x:f>Reporting!A110</x:f>
        <x:v>2026-W32</x:v>
      </x:c>
      <x:c r="D118" s="5" t="str">
        <x:f>Reporting!L110</x:f>
        <x:v>Réel</x:v>
      </x:c>
      <x:c r="E118" s="5" t="str">
        <x:f>Reporting!D110</x:f>
        <x:v>Issuing</x:v>
      </x:c>
      <x:c r="F118" s="5" t="str">
        <x:f>Reporting!E110</x:f>
        <x:v>Onboarding</x:v>
      </x:c>
      <x:c r="G118" s="5" t="str">
        <x:f>Reporting!F110</x:f>
        <x:v>UAT</x:v>
      </x:c>
      <x:c r="H118" s="5" t="str">
        <x:f>Reporting!G110</x:f>
        <x:v>AVRO</x:v>
      </x:c>
      <x:c r="I118" s="5" t="str">
        <x:f>Reporting!C110</x:f>
        <x:v>CMS22</x:v>
      </x:c>
      <x:c r="J118" s="5" t="str">
        <x:f>Reporting!I110</x:f>
        <x:v>v1.2</x:v>
      </x:c>
      <x:c r="K118" s="5" t="str">
        <x:f>Reporting!Q110</x:f>
        <x:v>Prêt</x:v>
      </x:c>
      <x:c r="L118" s="5" t="str">
        <x:f>Reporting!R110</x:f>
        <x:v>OK</x:v>
      </x:c>
      <x:c r="M118" s="5" t="str">
        <x:f>Reporting!H110</x:f>
        <x:v>Livré</x:v>
      </x:c>
      <x:c r="N118" s="5" t="n">
        <x:f>Reporting!K110</x:f>
        <x:v>0</x:v>
      </x:c>
    </x:row>
    <x:row r="119">
      <x:c r="A119" s="5" t="str">
        <x:f>Reporting!O111</x:f>
        <x:v>Sprint 21</x:v>
      </x:c>
      <x:c r="B119" s="5" t="str">
        <x:f>Reporting!P111</x:f>
        <x:v>Semaine 2</x:v>
      </x:c>
      <x:c r="C119" s="5" t="str">
        <x:f>Reporting!A111</x:f>
        <x:v>2026-W32</x:v>
      </x:c>
      <x:c r="D119" s="5" t="str">
        <x:f>Reporting!L111</x:f>
        <x:v>Réel</x:v>
      </x:c>
      <x:c r="E119" s="5" t="str">
        <x:f>Reporting!D111</x:f>
        <x:v>Issuing</x:v>
      </x:c>
      <x:c r="F119" s="5" t="str">
        <x:f>Reporting!E111</x:f>
        <x:v>Onboarding</x:v>
      </x:c>
      <x:c r="G119" s="5" t="str">
        <x:f>Reporting!F111</x:f>
        <x:v>UAT</x:v>
      </x:c>
      <x:c r="H119" s="5" t="str">
        <x:f>Reporting!G111</x:f>
        <x:v>AVRO</x:v>
      </x:c>
      <x:c r="I119" s="5" t="str">
        <x:f>Reporting!C111</x:f>
        <x:v>CMS14_003</x:v>
      </x:c>
      <x:c r="J119" s="5" t="str">
        <x:f>Reporting!I111</x:f>
        <x:v>v1.5</x:v>
      </x:c>
      <x:c r="K119" s="5" t="str">
        <x:f>Reporting!Q111</x:f>
        <x:v>Non prêt</x:v>
      </x:c>
      <x:c r="L119" s="5" t="str">
        <x:f>Reporting!R111</x:f>
        <x:v>KO</x:v>
      </x:c>
      <x:c r="M119" s="5" t="str">
        <x:f>Reporting!H111</x:f>
        <x:v>À traiter</x:v>
      </x:c>
      <x:c r="N119" s="5" t="n">
        <x:f>Reporting!K111</x:f>
        <x:v>0</x:v>
      </x:c>
    </x:row>
    <x:row r="120">
      <x:c r="A120" s="5" t="str">
        <x:f>Reporting!O112</x:f>
        <x:v>Sprint 21</x:v>
      </x:c>
      <x:c r="B120" s="5" t="str">
        <x:f>Reporting!P112</x:f>
        <x:v>Semaine 2</x:v>
      </x:c>
      <x:c r="C120" s="5" t="str">
        <x:f>Reporting!A112</x:f>
        <x:v>2026-W32</x:v>
      </x:c>
      <x:c r="D120" s="5" t="str">
        <x:f>Reporting!L112</x:f>
        <x:v>Réel</x:v>
      </x:c>
      <x:c r="E120" s="5" t="str">
        <x:f>Reporting!D112</x:f>
        <x:v>Issuing</x:v>
      </x:c>
      <x:c r="F120" s="5" t="str">
        <x:f>Reporting!E112</x:f>
        <x:v>Authorize / Paiement</x:v>
      </x:c>
      <x:c r="G120" s="5" t="str">
        <x:f>Reporting!F112</x:f>
        <x:v>UAT</x:v>
      </x:c>
      <x:c r="H120" s="5" t="str">
        <x:f>Reporting!G112</x:f>
        <x:v>AVRO</x:v>
      </x:c>
      <x:c r="I120" s="5" t="str">
        <x:f>Reporting!C112</x:f>
        <x:v>OA3_002</x:v>
      </x:c>
      <x:c r="J120" s="5" t="str">
        <x:f>Reporting!I112</x:f>
        <x:v>v1.3.0</x:v>
      </x:c>
      <x:c r="K120" s="5" t="str">
        <x:f>Reporting!Q112</x:f>
        <x:v>Prêt</x:v>
      </x:c>
      <x:c r="L120" s="5" t="str">
        <x:f>Reporting!R112</x:f>
        <x:v>OK</x:v>
      </x:c>
      <x:c r="M120" s="5" t="str">
        <x:f>Reporting!H112</x:f>
        <x:v>Livré</x:v>
      </x:c>
      <x:c r="N120" s="5" t="n">
        <x:f>Reporting!K112</x:f>
        <x:v>0</x:v>
      </x:c>
    </x:row>
    <x:row r="121">
      <x:c r="A121" s="5" t="str">
        <x:f>Reporting!O113</x:f>
        <x:v>Sprint 21</x:v>
      </x:c>
      <x:c r="B121" s="5" t="str">
        <x:f>Reporting!P113</x:f>
        <x:v>Semaine 2</x:v>
      </x:c>
      <x:c r="C121" s="5" t="str">
        <x:f>Reporting!A113</x:f>
        <x:v>2026-W32</x:v>
      </x:c>
      <x:c r="D121" s="5" t="str">
        <x:f>Reporting!L113</x:f>
        <x:v>Réel</x:v>
      </x:c>
      <x:c r="E121" s="5" t="str">
        <x:f>Reporting!D113</x:f>
        <x:v>Issuing</x:v>
      </x:c>
      <x:c r="F121" s="5" t="str">
        <x:f>Reporting!E113</x:f>
        <x:v>Contestation</x:v>
      </x:c>
      <x:c r="G121" s="5" t="str">
        <x:f>Reporting!F113</x:f>
        <x:v>UAT</x:v>
      </x:c>
      <x:c r="H121" s="5" t="str">
        <x:f>Reporting!G113</x:f>
        <x:v>AVRO</x:v>
      </x:c>
      <x:c r="I121" s="5" t="str">
        <x:f>Reporting!C113</x:f>
        <x:v>CNT-EM6</x:v>
      </x:c>
      <x:c r="J121" s="5" t="str">
        <x:f>Reporting!I113</x:f>
        <x:v>v1.7</x:v>
      </x:c>
      <x:c r="K121" s="5" t="str">
        <x:f>Reporting!Q113</x:f>
        <x:v>Prêt</x:v>
      </x:c>
      <x:c r="L121" s="5" t="str">
        <x:f>Reporting!R113</x:f>
        <x:v>OK</x:v>
      </x:c>
      <x:c r="M121" s="5" t="str">
        <x:f>Reporting!H113</x:f>
        <x:v>Livré</x:v>
      </x:c>
      <x:c r="N121" s="5" t="n">
        <x:f>Reporting!K113</x:f>
        <x:v>0</x:v>
      </x:c>
    </x:row>
    <x:row r="122">
      <x:c r="A122" s="5" t="str">
        <x:f>Reporting!O114</x:f>
        <x:v>Sprint 21</x:v>
      </x:c>
      <x:c r="B122" s="5" t="str">
        <x:f>Reporting!P114</x:f>
        <x:v>Semaine 2</x:v>
      </x:c>
      <x:c r="C122" s="5" t="str">
        <x:f>Reporting!A114</x:f>
        <x:v>2026-W32</x:v>
      </x:c>
      <x:c r="D122" s="5" t="str">
        <x:f>Reporting!L114</x:f>
        <x:v>Réel</x:v>
      </x:c>
      <x:c r="E122" s="5" t="str">
        <x:f>Reporting!D114</x:f>
        <x:v>Issuing</x:v>
      </x:c>
      <x:c r="F122" s="5" t="str">
        <x:f>Reporting!E114</x:f>
        <x:v>Contestation</x:v>
      </x:c>
      <x:c r="G122" s="5" t="str">
        <x:f>Reporting!F114</x:f>
        <x:v>UAT</x:v>
      </x:c>
      <x:c r="H122" s="5" t="str">
        <x:f>Reporting!G114</x:f>
        <x:v>AVRO</x:v>
      </x:c>
      <x:c r="I122" s="5" t="str">
        <x:f>Reporting!C114</x:f>
        <x:v>CNT-EM9</x:v>
      </x:c>
      <x:c r="J122" s="5" t="str">
        <x:f>Reporting!I114</x:f>
        <x:v>v1.7</x:v>
      </x:c>
      <x:c r="K122" s="5" t="str">
        <x:f>Reporting!Q114</x:f>
        <x:v>Prêt</x:v>
      </x:c>
      <x:c r="L122" s="5" t="str">
        <x:f>Reporting!R114</x:f>
        <x:v>OK</x:v>
      </x:c>
      <x:c r="M122" s="5" t="str">
        <x:f>Reporting!H114</x:f>
        <x:v>Livré</x:v>
      </x:c>
      <x:c r="N122" s="5" t="n">
        <x:f>Reporting!K114</x:f>
        <x:v>0</x:v>
      </x:c>
    </x:row>
    <x:row r="123">
      <x:c r="A123" s="5" t="str">
        <x:f>Reporting!O115</x:f>
        <x:v>Sprint 21</x:v>
      </x:c>
      <x:c r="B123" s="5" t="str">
        <x:f>Reporting!P115</x:f>
        <x:v>Semaine 2</x:v>
      </x:c>
      <x:c r="C123" s="5" t="str">
        <x:f>Reporting!A115</x:f>
        <x:v>2026-W32</x:v>
      </x:c>
      <x:c r="D123" s="5" t="str">
        <x:f>Reporting!L115</x:f>
        <x:v>Réel</x:v>
      </x:c>
      <x:c r="E123" s="5" t="str">
        <x:f>Reporting!D115</x:f>
        <x:v>Issuing</x:v>
      </x:c>
      <x:c r="F123" s="5" t="str">
        <x:f>Reporting!E115</x:f>
        <x:v>Contestation</x:v>
      </x:c>
      <x:c r="G123" s="5" t="str">
        <x:f>Reporting!F115</x:f>
        <x:v>UAT</x:v>
      </x:c>
      <x:c r="H123" s="5" t="str">
        <x:f>Reporting!G115</x:f>
        <x:v>AVRO</x:v>
      </x:c>
      <x:c r="I123" s="5" t="str">
        <x:f>Reporting!C115</x:f>
        <x:v>CNT-EM15</x:v>
      </x:c>
      <x:c r="J123" s="5" t="str">
        <x:f>Reporting!I115</x:f>
        <x:v>v1.7</x:v>
      </x:c>
      <x:c r="K123" s="5" t="str">
        <x:f>Reporting!Q115</x:f>
        <x:v>Prêt</x:v>
      </x:c>
      <x:c r="L123" s="5" t="str">
        <x:f>Reporting!R115</x:f>
        <x:v>OK</x:v>
      </x:c>
      <x:c r="M123" s="5" t="str">
        <x:f>Reporting!H115</x:f>
        <x:v>Livré</x:v>
      </x:c>
      <x:c r="N123" s="5" t="n">
        <x:f>Reporting!K115</x:f>
        <x:v>0</x:v>
      </x:c>
    </x:row>
    <x:row r="124">
      <x:c r="A124" s="5" t="str">
        <x:f>Reporting!O116</x:f>
        <x:v>Sprint 21</x:v>
      </x:c>
      <x:c r="B124" s="5" t="str">
        <x:f>Reporting!P116</x:f>
        <x:v>Semaine 2</x:v>
      </x:c>
      <x:c r="C124" s="5" t="str">
        <x:f>Reporting!A116</x:f>
        <x:v>2026-W32</x:v>
      </x:c>
      <x:c r="D124" s="5" t="str">
        <x:f>Reporting!L116</x:f>
        <x:v>Réel</x:v>
      </x:c>
      <x:c r="E124" s="5" t="str">
        <x:f>Reporting!D116</x:f>
        <x:v>Issuing</x:v>
      </x:c>
      <x:c r="F124" s="5" t="str">
        <x:f>Reporting!E116</x:f>
        <x:v>Contestation</x:v>
      </x:c>
      <x:c r="G124" s="5" t="str">
        <x:f>Reporting!F116</x:f>
        <x:v>UAT</x:v>
      </x:c>
      <x:c r="H124" s="5" t="str">
        <x:f>Reporting!G116</x:f>
        <x:v>AVRO</x:v>
      </x:c>
      <x:c r="I124" s="5" t="str">
        <x:f>Reporting!C116</x:f>
        <x:v>CNT-EM18</x:v>
      </x:c>
      <x:c r="J124" s="5" t="str">
        <x:f>Reporting!I116</x:f>
        <x:v>v1.7</x:v>
      </x:c>
      <x:c r="K124" s="5" t="str">
        <x:f>Reporting!Q116</x:f>
        <x:v>Prêt</x:v>
      </x:c>
      <x:c r="L124" s="5" t="str">
        <x:f>Reporting!R116</x:f>
        <x:v>OK</x:v>
      </x:c>
      <x:c r="M124" s="5" t="str">
        <x:f>Reporting!H116</x:f>
        <x:v>Livré</x:v>
      </x:c>
      <x:c r="N124" s="5" t="n">
        <x:f>Reporting!K116</x:f>
        <x:v>0</x:v>
      </x:c>
    </x:row>
    <x:row r="125">
      <x:c r="A125" s="5" t="str">
        <x:f>Reporting!O117</x:f>
        <x:v>Sprint 21</x:v>
      </x:c>
      <x:c r="B125" s="5" t="str">
        <x:f>Reporting!P117</x:f>
        <x:v>Semaine 2</x:v>
      </x:c>
      <x:c r="C125" s="5" t="str">
        <x:f>Reporting!A117</x:f>
        <x:v>2026-W32</x:v>
      </x:c>
      <x:c r="D125" s="5" t="str">
        <x:f>Reporting!L117</x:f>
        <x:v>Réel</x:v>
      </x:c>
      <x:c r="E125" s="5" t="str">
        <x:f>Reporting!D117</x:f>
        <x:v>Issuing</x:v>
      </x:c>
      <x:c r="F125" s="5" t="str">
        <x:f>Reporting!E117</x:f>
        <x:v>GED</x:v>
      </x:c>
      <x:c r="G125" s="5" t="str">
        <x:f>Reporting!F117</x:f>
        <x:v>UAT</x:v>
      </x:c>
      <x:c r="H125" s="5" t="str">
        <x:f>Reporting!G117</x:f>
        <x:v>AVRO</x:v>
      </x:c>
      <x:c r="I125" s="5" t="str">
        <x:f>Reporting!C117</x:f>
        <x:v>DMS12-1</x:v>
      </x:c>
      <x:c r="J125" s="5" t="n">
        <x:f>Reporting!I117</x:f>
        <x:v>0</x:v>
      </x:c>
      <x:c r="K125" s="5" t="str">
        <x:f>Reporting!Q117</x:f>
        <x:v>Prêt</x:v>
      </x:c>
      <x:c r="L125" s="5" t="str">
        <x:f>Reporting!R117</x:f>
        <x:v>OK</x:v>
      </x:c>
      <x:c r="M125" s="5" t="str">
        <x:f>Reporting!H117</x:f>
        <x:v>Livré</x:v>
      </x:c>
      <x:c r="N125" s="5" t="n">
        <x:f>Reporting!K117</x:f>
        <x:v>0</x:v>
      </x:c>
    </x:row>
    <x:row r="126">
      <x:c r="A126" s="5" t="str">
        <x:f>Reporting!O118</x:f>
        <x:v>Sprint 21</x:v>
      </x:c>
      <x:c r="B126" s="5" t="str">
        <x:f>Reporting!P118</x:f>
        <x:v>Semaine 2</x:v>
      </x:c>
      <x:c r="C126" s="5" t="str">
        <x:f>Reporting!A118</x:f>
        <x:v>2026-W32</x:v>
      </x:c>
      <x:c r="D126" s="5" t="str">
        <x:f>Reporting!L118</x:f>
        <x:v>Réel</x:v>
      </x:c>
      <x:c r="E126" s="5" t="str">
        <x:f>Reporting!D118</x:f>
        <x:v>Issuing</x:v>
      </x:c>
      <x:c r="F126" s="5" t="str">
        <x:f>Reporting!E118</x:f>
        <x:v>GED</x:v>
      </x:c>
      <x:c r="G126" s="5" t="str">
        <x:f>Reporting!F118</x:f>
        <x:v>UAT</x:v>
      </x:c>
      <x:c r="H126" s="5" t="str">
        <x:f>Reporting!G118</x:f>
        <x:v>AVRO</x:v>
      </x:c>
      <x:c r="I126" s="5" t="str">
        <x:f>Reporting!C118</x:f>
        <x:v>DMS12-2</x:v>
      </x:c>
      <x:c r="J126" s="5" t="n">
        <x:f>Reporting!I118</x:f>
        <x:v>0</x:v>
      </x:c>
      <x:c r="K126" s="5" t="str">
        <x:f>Reporting!Q118</x:f>
        <x:v>Prêt</x:v>
      </x:c>
      <x:c r="L126" s="5" t="str">
        <x:f>Reporting!R118</x:f>
        <x:v>OK</x:v>
      </x:c>
      <x:c r="M126" s="5" t="str">
        <x:f>Reporting!H118</x:f>
        <x:v>Livré</x:v>
      </x:c>
      <x:c r="N126" s="5" t="n">
        <x:f>Reporting!K118</x:f>
        <x:v>0</x:v>
      </x:c>
    </x:row>
    <x:row r="127">
      <x:c r="A127" s="5" t="str">
        <x:f>Reporting!O119</x:f>
        <x:v>Sprint 21</x:v>
      </x:c>
      <x:c r="B127" s="5" t="str">
        <x:f>Reporting!P119</x:f>
        <x:v>Semaine 2</x:v>
      </x:c>
      <x:c r="C127" s="5" t="str">
        <x:f>Reporting!A119</x:f>
        <x:v>2026-W32</x:v>
      </x:c>
      <x:c r="D127" s="5" t="str">
        <x:f>Reporting!L119</x:f>
        <x:v>Réel</x:v>
      </x:c>
      <x:c r="E127" s="5" t="str">
        <x:f>Reporting!D119</x:f>
        <x:v>Acquisition</x:v>
      </x:c>
      <x:c r="F127" s="5" t="str">
        <x:f>Reporting!E119</x:f>
        <x:v>Onboarding</x:v>
      </x:c>
      <x:c r="G127" s="5" t="str">
        <x:f>Reporting!F119</x:f>
        <x:v>SIT</x:v>
      </x:c>
      <x:c r="H127" s="5" t="str">
        <x:f>Reporting!G119</x:f>
        <x:v>Anomalie</x:v>
      </x:c>
      <x:c r="I127" s="5" t="str">
        <x:f>Reporting!C119</x:f>
        <x:v>796002</x:v>
      </x:c>
      <x:c r="J127" s="5" t="str">
        <x:f>Reporting!I119</x:f>
      </x:c>
      <x:c r="K127" s="5" t="str">
        <x:f>Reporting!Q119</x:f>
      </x:c>
      <x:c r="L127" s="5" t="str">
        <x:f>Reporting!R119</x:f>
        <x:v>OK</x:v>
      </x:c>
      <x:c r="M127" s="5" t="str">
        <x:f>Reporting!H119</x:f>
        <x:v>Validé</x:v>
      </x:c>
      <x:c r="N127" s="5" t="str">
        <x:f>Reporting!K119</x:f>
        <x:v>id-flow</x:v>
      </x:c>
    </x:row>
    <x:row r="128">
      <x:c r="A128" s="5" t="str">
        <x:f>Reporting!O120</x:f>
        <x:v>Sprint 21</x:v>
      </x:c>
      <x:c r="B128" s="5" t="str">
        <x:f>Reporting!P120</x:f>
        <x:v>Semaine 2</x:v>
      </x:c>
      <x:c r="C128" s="5" t="str">
        <x:f>Reporting!A120</x:f>
        <x:v>2026-W32</x:v>
      </x:c>
      <x:c r="D128" s="5" t="str">
        <x:f>Reporting!L120</x:f>
        <x:v>Réel</x:v>
      </x:c>
      <x:c r="E128" s="5" t="str">
        <x:f>Reporting!D120</x:f>
        <x:v>Acquisition</x:v>
      </x:c>
      <x:c r="F128" s="5" t="str">
        <x:f>Reporting!E120</x:f>
        <x:v>Onboarding</x:v>
      </x:c>
      <x:c r="G128" s="5" t="str">
        <x:f>Reporting!F120</x:f>
        <x:v>SIT</x:v>
      </x:c>
      <x:c r="H128" s="5" t="str">
        <x:f>Reporting!G120</x:f>
        <x:v>Anomalie</x:v>
      </x:c>
      <x:c r="I128" s="5" t="str">
        <x:f>Reporting!C120</x:f>
        <x:v>800038</x:v>
      </x:c>
      <x:c r="J128" s="5" t="str">
        <x:f>Reporting!I120</x:f>
      </x:c>
      <x:c r="K128" s="5" t="str">
        <x:f>Reporting!Q120</x:f>
      </x:c>
      <x:c r="L128" s="5" t="str">
        <x:f>Reporting!R120</x:f>
        <x:v>OK</x:v>
      </x:c>
      <x:c r="M128" s="5" t="str">
        <x:f>Reporting!H120</x:f>
        <x:v>Validé</x:v>
      </x:c>
      <x:c r="N128" s="5" t="str">
        <x:f>Reporting!K120</x:f>
        <x:v>500 Gateway Timeout</x:v>
      </x:c>
    </x:row>
    <x:row r="129">
      <x:c r="A129" s="5" t="str">
        <x:f>Reporting!O121</x:f>
        <x:v>Sprint 21</x:v>
      </x:c>
      <x:c r="B129" s="5" t="str">
        <x:f>Reporting!P121</x:f>
        <x:v>Semaine 2</x:v>
      </x:c>
      <x:c r="C129" s="5" t="str">
        <x:f>Reporting!A121</x:f>
        <x:v>2026-W32</x:v>
      </x:c>
      <x:c r="D129" s="5" t="str">
        <x:f>Reporting!L121</x:f>
        <x:v>Réel</x:v>
      </x:c>
      <x:c r="E129" s="5" t="str">
        <x:f>Reporting!D121</x:f>
        <x:v>Issuing</x:v>
      </x:c>
      <x:c r="F129" s="5" t="str">
        <x:f>Reporting!E121</x:f>
        <x:v>Authorize / Paiement</x:v>
      </x:c>
      <x:c r="G129" s="5" t="str">
        <x:f>Reporting!F121</x:f>
        <x:v>SIT</x:v>
      </x:c>
      <x:c r="H129" s="5" t="str">
        <x:f>Reporting!G121</x:f>
        <x:v>Anomalie</x:v>
      </x:c>
      <x:c r="I129" s="5" t="str">
        <x:f>Reporting!C121</x:f>
        <x:v>844001</x:v>
      </x:c>
      <x:c r="J129" s="5" t="str">
        <x:f>Reporting!I121</x:f>
      </x:c>
      <x:c r="K129" s="5" t="str">
        <x:f>Reporting!Q121</x:f>
      </x:c>
      <x:c r="L129" s="5" t="str">
        <x:f>Reporting!R121</x:f>
        <x:v>OK</x:v>
      </x:c>
      <x:c r="M129" s="5" t="str">
        <x:f>Reporting!H121</x:f>
        <x:v>Validé</x:v>
      </x:c>
      <x:c r="N129" s="5" t="str">
        <x:f>Reporting!K121</x:f>
        <x:v>500 on card holder.id missing on OA3-2</x:v>
      </x:c>
    </x:row>
    <x:row r="130">
      <x:c r="A130" s="5" t="str">
        <x:f>Reporting!O122</x:f>
        <x:v>Sprint 21</x:v>
      </x:c>
      <x:c r="B130" s="5" t="str">
        <x:f>Reporting!P122</x:f>
        <x:v>Semaine 2</x:v>
      </x:c>
      <x:c r="C130" s="5" t="str">
        <x:f>Reporting!A122</x:f>
        <x:v>2026-W32</x:v>
      </x:c>
      <x:c r="D130" s="5" t="str">
        <x:f>Reporting!L122</x:f>
        <x:v>Réel</x:v>
      </x:c>
      <x:c r="E130" s="5" t="str">
        <x:f>Reporting!D122</x:f>
        <x:v>Issuing</x:v>
      </x:c>
      <x:c r="F130" s="5" t="str">
        <x:f>Reporting!E122</x:f>
        <x:v>Onboarding</x:v>
      </x:c>
      <x:c r="G130" s="5" t="str">
        <x:f>Reporting!F122</x:f>
        <x:v>SIT</x:v>
      </x:c>
      <x:c r="H130" s="5" t="str">
        <x:f>Reporting!G122</x:f>
        <x:v>Anomalie</x:v>
      </x:c>
      <x:c r="I130" s="5" t="str">
        <x:f>Reporting!C122</x:f>
        <x:v>796002</x:v>
      </x:c>
      <x:c r="J130" s="5" t="str">
        <x:f>Reporting!I122</x:f>
      </x:c>
      <x:c r="K130" s="5" t="str">
        <x:f>Reporting!Q122</x:f>
      </x:c>
      <x:c r="L130" s="5" t="str">
        <x:f>Reporting!R122</x:f>
        <x:v>OK</x:v>
      </x:c>
      <x:c r="M130" s="5" t="str">
        <x:f>Reporting!H122</x:f>
        <x:v>Validé</x:v>
      </x:c>
      <x:c r="N130" s="5" t="str">
        <x:f>Reporting!K122</x:f>
        <x:v>id-flow</x:v>
      </x:c>
    </x:row>
    <x:row r="131">
      <x:c r="A131" s="5" t="str">
        <x:f>Reporting!O123</x:f>
        <x:v>Sprint 21</x:v>
      </x:c>
      <x:c r="B131" s="5" t="str">
        <x:f>Reporting!P123</x:f>
        <x:v>Semaine 2</x:v>
      </x:c>
      <x:c r="C131" s="5" t="str">
        <x:f>Reporting!A123</x:f>
        <x:v>2026-W32</x:v>
      </x:c>
      <x:c r="D131" s="5" t="str">
        <x:f>Reporting!L123</x:f>
        <x:v>Réel</x:v>
      </x:c>
      <x:c r="E131" s="5" t="str">
        <x:f>Reporting!D123</x:f>
        <x:v>Issuing</x:v>
      </x:c>
      <x:c r="F131" s="5" t="str">
        <x:f>Reporting!E123</x:f>
        <x:v>Onboarding</x:v>
      </x:c>
      <x:c r="G131" s="5" t="str">
        <x:f>Reporting!F123</x:f>
        <x:v>SIT</x:v>
      </x:c>
      <x:c r="H131" s="5" t="str">
        <x:f>Reporting!G123</x:f>
        <x:v>Anomalie</x:v>
      </x:c>
      <x:c r="I131" s="5" t="str">
        <x:f>Reporting!C123</x:f>
        <x:v>800038</x:v>
      </x:c>
      <x:c r="J131" s="5" t="str">
        <x:f>Reporting!I123</x:f>
      </x:c>
      <x:c r="K131" s="5" t="str">
        <x:f>Reporting!Q123</x:f>
      </x:c>
      <x:c r="L131" s="5" t="str">
        <x:f>Reporting!R123</x:f>
        <x:v>OK</x:v>
      </x:c>
      <x:c r="M131" s="5" t="str">
        <x:f>Reporting!H123</x:f>
        <x:v>Validé</x:v>
      </x:c>
      <x:c r="N131" s="5" t="str">
        <x:f>Reporting!K123</x:f>
        <x:v>500 Gateway Timeout</x:v>
      </x:c>
    </x:row>
    <x:row r="132">
      <x:c r="A132" s="5" t="str">
        <x:f>Reporting!O124</x:f>
        <x:v>Sprint 21</x:v>
      </x:c>
      <x:c r="B132" s="5" t="str">
        <x:f>Reporting!P124</x:f>
        <x:v>Semaine 2</x:v>
      </x:c>
      <x:c r="C132" s="5" t="str">
        <x:f>Reporting!A124</x:f>
        <x:v>2026-W32</x:v>
      </x:c>
      <x:c r="D132" s="5" t="str">
        <x:f>Reporting!L124</x:f>
        <x:v>Réel</x:v>
      </x:c>
      <x:c r="E132" s="5" t="str">
        <x:f>Reporting!D124</x:f>
        <x:v>Issuing</x:v>
      </x:c>
      <x:c r="F132" s="5" t="str">
        <x:f>Reporting!E124</x:f>
        <x:v>Onboarding</x:v>
      </x:c>
      <x:c r="G132" s="5" t="str">
        <x:f>Reporting!F124</x:f>
        <x:v>SIT</x:v>
      </x:c>
      <x:c r="H132" s="5" t="str">
        <x:f>Reporting!G124</x:f>
        <x:v>Anomalie</x:v>
      </x:c>
      <x:c r="I132" s="5" t="str">
        <x:f>Reporting!C124</x:f>
        <x:v>772018</x:v>
      </x:c>
      <x:c r="J132" s="5" t="str">
        <x:f>Reporting!I124</x:f>
      </x:c>
      <x:c r="K132" s="5" t="str">
        <x:f>Reporting!Q124</x:f>
      </x:c>
      <x:c r="L132" s="5" t="str">
        <x:f>Reporting!R124</x:f>
        <x:v>OK</x:v>
      </x:c>
      <x:c r="M132" s="5" t="str">
        <x:f>Reporting!H124</x:f>
        <x:v>Validé</x:v>
      </x:c>
      <x:c r="N132" s="5" t="str">
        <x:f>Reporting!K124</x:f>
        <x:v>DateTime format</x:v>
      </x:c>
    </x:row>
    <x:row r="133">
      <x:c r="A133" s="5" t="str">
        <x:f>Reporting!O125</x:f>
        <x:v>Sprint 21</x:v>
      </x:c>
      <x:c r="B133" s="5" t="str">
        <x:f>Reporting!P125</x:f>
        <x:v>Semaine 2</x:v>
      </x:c>
      <x:c r="C133" s="5" t="str">
        <x:f>Reporting!A125</x:f>
        <x:v>2026-W32</x:v>
      </x:c>
      <x:c r="D133" s="5" t="str">
        <x:f>Reporting!L125</x:f>
        <x:v>Réel</x:v>
      </x:c>
      <x:c r="E133" s="5" t="str">
        <x:f>Reporting!D125</x:f>
        <x:v>Issuing</x:v>
      </x:c>
      <x:c r="F133" s="5" t="str">
        <x:f>Reporting!E125</x:f>
        <x:v>Onboarding</x:v>
      </x:c>
      <x:c r="G133" s="5" t="str">
        <x:f>Reporting!F125</x:f>
        <x:v>SIT</x:v>
      </x:c>
      <x:c r="H133" s="5" t="str">
        <x:f>Reporting!G125</x:f>
        <x:v>Anomalie</x:v>
      </x:c>
      <x:c r="I133" s="5" t="str">
        <x:f>Reporting!C125</x:f>
        <x:v>803033</x:v>
      </x:c>
      <x:c r="J133" s="5" t="str">
        <x:f>Reporting!I125</x:f>
      </x:c>
      <x:c r="K133" s="5" t="str">
        <x:f>Reporting!Q125</x:f>
      </x:c>
      <x:c r="L133" s="5" t="str">
        <x:f>Reporting!R125</x:f>
        <x:v>OK</x:v>
      </x:c>
      <x:c r="M133" s="5" t="str">
        <x:f>Reporting!H125</x:f>
        <x:v>Validé</x:v>
      </x:c>
      <x:c r="N133" s="5" t="str">
        <x:f>Reporting!K125</x:f>
        <x:v>Error to get the schema</x:v>
      </x:c>
    </x:row>
    <x:row r="134">
      <x:c r="A134" s="5" t="str">
        <x:f>Reporting!O126</x:f>
        <x:v>Sprint 21</x:v>
      </x:c>
      <x:c r="B134" s="5" t="str">
        <x:f>Reporting!P126</x:f>
        <x:v>Semaine 2</x:v>
      </x:c>
      <x:c r="C134" s="5" t="str">
        <x:f>Reporting!A126</x:f>
        <x:v>2026-W32</x:v>
      </x:c>
      <x:c r="D134" s="5" t="str">
        <x:f>Reporting!L126</x:f>
        <x:v>Réel</x:v>
      </x:c>
      <x:c r="E134" s="5" t="str">
        <x:f>Reporting!D126</x:f>
        <x:v>Issuing</x:v>
      </x:c>
      <x:c r="F134" s="5" t="str">
        <x:f>Reporting!E126</x:f>
        <x:v>Onboarding</x:v>
      </x:c>
      <x:c r="G134" s="5" t="str">
        <x:f>Reporting!F126</x:f>
        <x:v>SIT</x:v>
      </x:c>
      <x:c r="H134" s="5" t="str">
        <x:f>Reporting!G126</x:f>
        <x:v>Anomalie</x:v>
      </x:c>
      <x:c r="I134" s="5" t="str">
        <x:f>Reporting!C126</x:f>
        <x:v>798044</x:v>
      </x:c>
      <x:c r="J134" s="5" t="n">
        <x:f>Reporting!I126</x:f>
        <x:v>0</x:v>
      </x:c>
      <x:c r="K134" s="5" t="n">
        <x:f>Reporting!Q126</x:f>
        <x:v>0</x:v>
      </x:c>
      <x:c r="L134" s="5" t="str">
        <x:f>Reporting!R126</x:f>
        <x:v>OK</x:v>
      </x:c>
      <x:c r="M134" s="5" t="str">
        <x:f>Reporting!H126</x:f>
        <x:v>Validé</x:v>
      </x:c>
      <x:c r="N134" s="5" t="str">
        <x:f>Reporting!K126</x:f>
        <x:v>Erreur unauthorized_request CMS4_001 — pas liée à GIL</x:v>
      </x:c>
    </x:row>
    <x:row r="135">
      <x:c r="A135" s="5" t="n">
        <x:f>Reporting!O127</x:f>
        <x:v>0</x:v>
      </x:c>
      <x:c r="B135" s="5" t="n">
        <x:f>Reporting!P127</x:f>
        <x:v>0</x:v>
      </x:c>
      <x:c r="C135" s="5" t="n">
        <x:f>Reporting!A127</x:f>
        <x:v>0</x:v>
      </x:c>
      <x:c r="D135" s="5" t="n">
        <x:f>Reporting!L127</x:f>
        <x:v>0</x:v>
      </x:c>
      <x:c r="E135" s="5" t="n">
        <x:f>Reporting!D127</x:f>
        <x:v>0</x:v>
      </x:c>
      <x:c r="F135" s="5" t="n">
        <x:f>Reporting!E127</x:f>
        <x:v>0</x:v>
      </x:c>
      <x:c r="G135" s="5" t="n">
        <x:f>Reporting!F127</x:f>
        <x:v>0</x:v>
      </x:c>
      <x:c r="H135" s="5" t="n">
        <x:f>Reporting!G127</x:f>
        <x:v>0</x:v>
      </x:c>
      <x:c r="I135" s="5" t="n">
        <x:f>Reporting!C127</x:f>
        <x:v>0</x:v>
      </x:c>
      <x:c r="J135" s="5" t="n">
        <x:f>Reporting!I127</x:f>
        <x:v>0</x:v>
      </x:c>
      <x:c r="K135" s="5" t="n">
        <x:f>Reporting!Q127</x:f>
        <x:v>0</x:v>
      </x:c>
      <x:c r="L135" s="5" t="n">
        <x:f>Reporting!R127</x:f>
        <x:v>0</x:v>
      </x:c>
      <x:c r="M135" s="5" t="n">
        <x:f>Reporting!H127</x:f>
        <x:v>0</x:v>
      </x:c>
      <x:c r="N135" s="5" t="n">
        <x:f>Reporting!K127</x:f>
        <x:v>0</x:v>
      </x:c>
    </x:row>
    <x:row r="136">
      <x:c r="A136" s="5" t="n">
        <x:f>Reporting!O128</x:f>
        <x:v>0</x:v>
      </x:c>
      <x:c r="B136" s="5" t="n">
        <x:f>Reporting!P128</x:f>
        <x:v>0</x:v>
      </x:c>
      <x:c r="C136" s="5" t="n">
        <x:f>Reporting!A128</x:f>
        <x:v>0</x:v>
      </x:c>
      <x:c r="D136" s="5" t="n">
        <x:f>Reporting!L128</x:f>
        <x:v>0</x:v>
      </x:c>
      <x:c r="E136" s="5" t="n">
        <x:f>Reporting!D128</x:f>
        <x:v>0</x:v>
      </x:c>
      <x:c r="F136" s="5" t="n">
        <x:f>Reporting!E128</x:f>
        <x:v>0</x:v>
      </x:c>
      <x:c r="G136" s="5" t="n">
        <x:f>Reporting!F128</x:f>
        <x:v>0</x:v>
      </x:c>
      <x:c r="H136" s="5" t="n">
        <x:f>Reporting!G128</x:f>
        <x:v>0</x:v>
      </x:c>
      <x:c r="I136" s="5" t="n">
        <x:f>Reporting!C128</x:f>
        <x:v>0</x:v>
      </x:c>
      <x:c r="J136" s="5" t="n">
        <x:f>Reporting!I128</x:f>
        <x:v>0</x:v>
      </x:c>
      <x:c r="K136" s="5" t="n">
        <x:f>Reporting!Q128</x:f>
        <x:v>0</x:v>
      </x:c>
      <x:c r="L136" s="5" t="n">
        <x:f>Reporting!R128</x:f>
        <x:v>0</x:v>
      </x:c>
      <x:c r="M136" s="5" t="n">
        <x:f>Reporting!H128</x:f>
        <x:v>0</x:v>
      </x:c>
      <x:c r="N136" s="5" t="n">
        <x:f>Reporting!K128</x:f>
        <x:v>0</x:v>
      </x:c>
    </x:row>
    <x:row r="137">
      <x:c r="A137" s="5" t="n">
        <x:f>Reporting!O129</x:f>
        <x:v>0</x:v>
      </x:c>
      <x:c r="B137" s="5" t="n">
        <x:f>Reporting!P129</x:f>
        <x:v>0</x:v>
      </x:c>
      <x:c r="C137" s="5" t="n">
        <x:f>Reporting!A129</x:f>
        <x:v>0</x:v>
      </x:c>
      <x:c r="D137" s="5" t="n">
        <x:f>Reporting!L129</x:f>
        <x:v>0</x:v>
      </x:c>
      <x:c r="E137" s="5" t="n">
        <x:f>Reporting!D129</x:f>
        <x:v>0</x:v>
      </x:c>
      <x:c r="F137" s="5" t="n">
        <x:f>Reporting!E129</x:f>
        <x:v>0</x:v>
      </x:c>
      <x:c r="G137" s="5" t="n">
        <x:f>Reporting!F129</x:f>
        <x:v>0</x:v>
      </x:c>
      <x:c r="H137" s="5" t="n">
        <x:f>Reporting!G129</x:f>
        <x:v>0</x:v>
      </x:c>
      <x:c r="I137" s="5" t="n">
        <x:f>Reporting!C129</x:f>
        <x:v>0</x:v>
      </x:c>
      <x:c r="J137" s="5" t="n">
        <x:f>Reporting!I129</x:f>
        <x:v>0</x:v>
      </x:c>
      <x:c r="K137" s="5" t="n">
        <x:f>Reporting!Q129</x:f>
        <x:v>0</x:v>
      </x:c>
      <x:c r="L137" s="5" t="n">
        <x:f>Reporting!R129</x:f>
        <x:v>0</x:v>
      </x:c>
      <x:c r="M137" s="5" t="n">
        <x:f>Reporting!H129</x:f>
        <x:v>0</x:v>
      </x:c>
      <x:c r="N137" s="5" t="n">
        <x:f>Reporting!K129</x:f>
        <x:v>0</x:v>
      </x:c>
    </x:row>
    <x:row r="138">
      <x:c r="A138" s="5" t="n">
        <x:f>Reporting!O130</x:f>
        <x:v>0</x:v>
      </x:c>
      <x:c r="B138" s="5" t="n">
        <x:f>Reporting!P130</x:f>
        <x:v>0</x:v>
      </x:c>
      <x:c r="C138" s="5" t="n">
        <x:f>Reporting!A130</x:f>
        <x:v>0</x:v>
      </x:c>
      <x:c r="D138" s="5" t="n">
        <x:f>Reporting!L130</x:f>
        <x:v>0</x:v>
      </x:c>
      <x:c r="E138" s="5" t="n">
        <x:f>Reporting!D130</x:f>
        <x:v>0</x:v>
      </x:c>
      <x:c r="F138" s="5" t="n">
        <x:f>Reporting!E130</x:f>
        <x:v>0</x:v>
      </x:c>
      <x:c r="G138" s="5" t="n">
        <x:f>Reporting!F130</x:f>
        <x:v>0</x:v>
      </x:c>
      <x:c r="H138" s="5" t="n">
        <x:f>Reporting!G130</x:f>
        <x:v>0</x:v>
      </x:c>
      <x:c r="I138" s="5" t="n">
        <x:f>Reporting!C130</x:f>
        <x:v>0</x:v>
      </x:c>
      <x:c r="J138" s="5" t="n">
        <x:f>Reporting!I130</x:f>
        <x:v>0</x:v>
      </x:c>
      <x:c r="K138" s="5" t="n">
        <x:f>Reporting!Q130</x:f>
        <x:v>0</x:v>
      </x:c>
      <x:c r="L138" s="5" t="n">
        <x:f>Reporting!R130</x:f>
        <x:v>0</x:v>
      </x:c>
      <x:c r="M138" s="5" t="n">
        <x:f>Reporting!H130</x:f>
        <x:v>0</x:v>
      </x:c>
      <x:c r="N138" s="5" t="n">
        <x:f>Reporting!K130</x:f>
        <x:v>0</x:v>
      </x:c>
    </x:row>
    <x:row r="139">
      <x:c r="A139" s="5" t="n">
        <x:f>Reporting!O131</x:f>
        <x:v>0</x:v>
      </x:c>
      <x:c r="B139" s="5" t="n">
        <x:f>Reporting!P131</x:f>
        <x:v>0</x:v>
      </x:c>
      <x:c r="C139" s="5" t="n">
        <x:f>Reporting!A131</x:f>
        <x:v>0</x:v>
      </x:c>
      <x:c r="D139" s="5" t="n">
        <x:f>Reporting!L131</x:f>
        <x:v>0</x:v>
      </x:c>
      <x:c r="E139" s="5" t="n">
        <x:f>Reporting!D131</x:f>
        <x:v>0</x:v>
      </x:c>
      <x:c r="F139" s="5" t="n">
        <x:f>Reporting!E131</x:f>
        <x:v>0</x:v>
      </x:c>
      <x:c r="G139" s="5" t="n">
        <x:f>Reporting!F131</x:f>
        <x:v>0</x:v>
      </x:c>
      <x:c r="H139" s="5" t="n">
        <x:f>Reporting!G131</x:f>
        <x:v>0</x:v>
      </x:c>
      <x:c r="I139" s="5" t="n">
        <x:f>Reporting!C131</x:f>
        <x:v>0</x:v>
      </x:c>
      <x:c r="J139" s="5" t="n">
        <x:f>Reporting!I131</x:f>
        <x:v>0</x:v>
      </x:c>
      <x:c r="K139" s="5" t="n">
        <x:f>Reporting!Q131</x:f>
        <x:v>0</x:v>
      </x:c>
      <x:c r="L139" s="5" t="n">
        <x:f>Reporting!R131</x:f>
        <x:v>0</x:v>
      </x:c>
      <x:c r="M139" s="5" t="n">
        <x:f>Reporting!H131</x:f>
        <x:v>0</x:v>
      </x:c>
      <x:c r="N139" s="5" t="n">
        <x:f>Reporting!K131</x:f>
        <x:v>0</x:v>
      </x:c>
    </x:row>
    <x:row r="140">
      <x:c r="A140" s="5" t="n">
        <x:f>Reporting!O132</x:f>
        <x:v>0</x:v>
      </x:c>
      <x:c r="B140" s="5" t="n">
        <x:f>Reporting!P132</x:f>
        <x:v>0</x:v>
      </x:c>
      <x:c r="C140" s="5" t="n">
        <x:f>Reporting!A132</x:f>
        <x:v>0</x:v>
      </x:c>
      <x:c r="D140" s="5" t="n">
        <x:f>Reporting!L132</x:f>
        <x:v>0</x:v>
      </x:c>
      <x:c r="E140" s="5" t="n">
        <x:f>Reporting!D132</x:f>
        <x:v>0</x:v>
      </x:c>
      <x:c r="F140" s="5" t="n">
        <x:f>Reporting!E132</x:f>
        <x:v>0</x:v>
      </x:c>
      <x:c r="G140" s="5" t="n">
        <x:f>Reporting!F132</x:f>
        <x:v>0</x:v>
      </x:c>
      <x:c r="H140" s="5" t="n">
        <x:f>Reporting!G132</x:f>
        <x:v>0</x:v>
      </x:c>
      <x:c r="I140" s="5" t="n">
        <x:f>Reporting!C132</x:f>
        <x:v>0</x:v>
      </x:c>
      <x:c r="J140" s="5" t="n">
        <x:f>Reporting!I132</x:f>
        <x:v>0</x:v>
      </x:c>
      <x:c r="K140" s="5" t="n">
        <x:f>Reporting!Q132</x:f>
        <x:v>0</x:v>
      </x:c>
      <x:c r="L140" s="5" t="n">
        <x:f>Reporting!R132</x:f>
        <x:v>0</x:v>
      </x:c>
      <x:c r="M140" s="5" t="n">
        <x:f>Reporting!H132</x:f>
        <x:v>0</x:v>
      </x:c>
      <x:c r="N140" s="5" t="n">
        <x:f>Reporting!K132</x:f>
        <x:v>0</x:v>
      </x:c>
    </x:row>
    <x:row r="141">
      <x:c r="A141" s="5" t="n">
        <x:f>Reporting!O133</x:f>
        <x:v>0</x:v>
      </x:c>
      <x:c r="B141" s="5" t="n">
        <x:f>Reporting!P133</x:f>
        <x:v>0</x:v>
      </x:c>
      <x:c r="C141" s="5" t="n">
        <x:f>Reporting!A133</x:f>
        <x:v>0</x:v>
      </x:c>
      <x:c r="D141" s="5" t="n">
        <x:f>Reporting!L133</x:f>
        <x:v>0</x:v>
      </x:c>
      <x:c r="E141" s="5" t="n">
        <x:f>Reporting!D133</x:f>
        <x:v>0</x:v>
      </x:c>
      <x:c r="F141" s="5" t="n">
        <x:f>Reporting!E133</x:f>
        <x:v>0</x:v>
      </x:c>
      <x:c r="G141" s="5" t="n">
        <x:f>Reporting!F133</x:f>
        <x:v>0</x:v>
      </x:c>
      <x:c r="H141" s="5" t="n">
        <x:f>Reporting!G133</x:f>
        <x:v>0</x:v>
      </x:c>
      <x:c r="I141" s="5" t="n">
        <x:f>Reporting!C133</x:f>
        <x:v>0</x:v>
      </x:c>
      <x:c r="J141" s="5" t="n">
        <x:f>Reporting!I133</x:f>
        <x:v>0</x:v>
      </x:c>
      <x:c r="K141" s="5" t="n">
        <x:f>Reporting!Q133</x:f>
        <x:v>0</x:v>
      </x:c>
      <x:c r="L141" s="5" t="n">
        <x:f>Reporting!R133</x:f>
        <x:v>0</x:v>
      </x:c>
      <x:c r="M141" s="5" t="n">
        <x:f>Reporting!H133</x:f>
        <x:v>0</x:v>
      </x:c>
      <x:c r="N141" s="5" t="n">
        <x:f>Reporting!K133</x:f>
        <x:v>0</x:v>
      </x:c>
    </x:row>
    <x:row r="142">
      <x:c r="A142" s="5" t="n">
        <x:f>Reporting!O134</x:f>
        <x:v>0</x:v>
      </x:c>
      <x:c r="B142" s="5" t="n">
        <x:f>Reporting!P134</x:f>
        <x:v>0</x:v>
      </x:c>
      <x:c r="C142" s="5" t="n">
        <x:f>Reporting!A134</x:f>
        <x:v>0</x:v>
      </x:c>
      <x:c r="D142" s="5" t="n">
        <x:f>Reporting!L134</x:f>
        <x:v>0</x:v>
      </x:c>
      <x:c r="E142" s="5" t="n">
        <x:f>Reporting!D134</x:f>
        <x:v>0</x:v>
      </x:c>
      <x:c r="F142" s="5" t="n">
        <x:f>Reporting!E134</x:f>
        <x:v>0</x:v>
      </x:c>
      <x:c r="G142" s="5" t="n">
        <x:f>Reporting!F134</x:f>
        <x:v>0</x:v>
      </x:c>
      <x:c r="H142" s="5" t="n">
        <x:f>Reporting!G134</x:f>
        <x:v>0</x:v>
      </x:c>
      <x:c r="I142" s="5" t="n">
        <x:f>Reporting!C134</x:f>
        <x:v>0</x:v>
      </x:c>
      <x:c r="J142" s="5" t="n">
        <x:f>Reporting!I134</x:f>
        <x:v>0</x:v>
      </x:c>
      <x:c r="K142" s="5" t="n">
        <x:f>Reporting!Q134</x:f>
        <x:v>0</x:v>
      </x:c>
      <x:c r="L142" s="5" t="n">
        <x:f>Reporting!R134</x:f>
        <x:v>0</x:v>
      </x:c>
      <x:c r="M142" s="5" t="n">
        <x:f>Reporting!H134</x:f>
        <x:v>0</x:v>
      </x:c>
      <x:c r="N142" s="5" t="n">
        <x:f>Reporting!K134</x:f>
        <x:v>0</x:v>
      </x:c>
    </x:row>
    <x:row r="143">
      <x:c r="A143" s="5" t="n">
        <x:f>Reporting!O135</x:f>
        <x:v>0</x:v>
      </x:c>
      <x:c r="B143" s="5" t="n">
        <x:f>Reporting!P135</x:f>
        <x:v>0</x:v>
      </x:c>
      <x:c r="C143" s="5" t="n">
        <x:f>Reporting!A135</x:f>
        <x:v>0</x:v>
      </x:c>
      <x:c r="D143" s="5" t="n">
        <x:f>Reporting!L135</x:f>
        <x:v>0</x:v>
      </x:c>
      <x:c r="E143" s="5" t="n">
        <x:f>Reporting!D135</x:f>
        <x:v>0</x:v>
      </x:c>
      <x:c r="F143" s="5" t="n">
        <x:f>Reporting!E135</x:f>
        <x:v>0</x:v>
      </x:c>
      <x:c r="G143" s="5" t="n">
        <x:f>Reporting!F135</x:f>
        <x:v>0</x:v>
      </x:c>
      <x:c r="H143" s="5" t="n">
        <x:f>Reporting!G135</x:f>
        <x:v>0</x:v>
      </x:c>
      <x:c r="I143" s="5" t="n">
        <x:f>Reporting!C135</x:f>
        <x:v>0</x:v>
      </x:c>
      <x:c r="J143" s="5" t="n">
        <x:f>Reporting!I135</x:f>
        <x:v>0</x:v>
      </x:c>
      <x:c r="K143" s="5" t="n">
        <x:f>Reporting!Q135</x:f>
        <x:v>0</x:v>
      </x:c>
      <x:c r="L143" s="5" t="n">
        <x:f>Reporting!R135</x:f>
        <x:v>0</x:v>
      </x:c>
      <x:c r="M143" s="5" t="n">
        <x:f>Reporting!H135</x:f>
        <x:v>0</x:v>
      </x:c>
      <x:c r="N143" s="5" t="n">
        <x:f>Reporting!K135</x:f>
        <x:v>0</x:v>
      </x:c>
    </x:row>
    <x:row r="144">
      <x:c r="A144" s="5" t="n">
        <x:f>Reporting!O136</x:f>
        <x:v>0</x:v>
      </x:c>
      <x:c r="B144" s="5" t="n">
        <x:f>Reporting!P136</x:f>
        <x:v>0</x:v>
      </x:c>
      <x:c r="C144" s="5" t="n">
        <x:f>Reporting!A136</x:f>
        <x:v>0</x:v>
      </x:c>
      <x:c r="D144" s="5" t="n">
        <x:f>Reporting!L136</x:f>
        <x:v>0</x:v>
      </x:c>
      <x:c r="E144" s="5" t="n">
        <x:f>Reporting!D136</x:f>
        <x:v>0</x:v>
      </x:c>
      <x:c r="F144" s="5" t="n">
        <x:f>Reporting!E136</x:f>
        <x:v>0</x:v>
      </x:c>
      <x:c r="G144" s="5" t="n">
        <x:f>Reporting!F136</x:f>
        <x:v>0</x:v>
      </x:c>
      <x:c r="H144" s="5" t="n">
        <x:f>Reporting!G136</x:f>
        <x:v>0</x:v>
      </x:c>
      <x:c r="I144" s="5" t="n">
        <x:f>Reporting!C136</x:f>
        <x:v>0</x:v>
      </x:c>
      <x:c r="J144" s="5" t="n">
        <x:f>Reporting!I136</x:f>
        <x:v>0</x:v>
      </x:c>
      <x:c r="K144" s="5" t="n">
        <x:f>Reporting!Q136</x:f>
        <x:v>0</x:v>
      </x:c>
      <x:c r="L144" s="5" t="n">
        <x:f>Reporting!R136</x:f>
        <x:v>0</x:v>
      </x:c>
      <x:c r="M144" s="5" t="n">
        <x:f>Reporting!H136</x:f>
        <x:v>0</x:v>
      </x:c>
      <x:c r="N144" s="5" t="n">
        <x:f>Reporting!K136</x:f>
        <x:v>0</x:v>
      </x:c>
    </x:row>
    <x:row r="145">
      <x:c r="A145" s="5" t="n">
        <x:f>Reporting!O137</x:f>
        <x:v>0</x:v>
      </x:c>
      <x:c r="B145" s="5" t="n">
        <x:f>Reporting!P137</x:f>
        <x:v>0</x:v>
      </x:c>
      <x:c r="C145" s="5" t="n">
        <x:f>Reporting!A137</x:f>
        <x:v>0</x:v>
      </x:c>
      <x:c r="D145" s="5" t="n">
        <x:f>Reporting!L137</x:f>
        <x:v>0</x:v>
      </x:c>
      <x:c r="E145" s="5" t="n">
        <x:f>Reporting!D137</x:f>
        <x:v>0</x:v>
      </x:c>
      <x:c r="F145" s="5" t="n">
        <x:f>Reporting!E137</x:f>
        <x:v>0</x:v>
      </x:c>
      <x:c r="G145" s="5" t="n">
        <x:f>Reporting!F137</x:f>
        <x:v>0</x:v>
      </x:c>
      <x:c r="H145" s="5" t="n">
        <x:f>Reporting!G137</x:f>
        <x:v>0</x:v>
      </x:c>
      <x:c r="I145" s="5" t="n">
        <x:f>Reporting!C137</x:f>
        <x:v>0</x:v>
      </x:c>
      <x:c r="J145" s="5" t="n">
        <x:f>Reporting!I137</x:f>
        <x:v>0</x:v>
      </x:c>
      <x:c r="K145" s="5" t="n">
        <x:f>Reporting!Q137</x:f>
        <x:v>0</x:v>
      </x:c>
      <x:c r="L145" s="5" t="n">
        <x:f>Reporting!R137</x:f>
        <x:v>0</x:v>
      </x:c>
      <x:c r="M145" s="5" t="n">
        <x:f>Reporting!H137</x:f>
        <x:v>0</x:v>
      </x:c>
      <x:c r="N145" s="5" t="n">
        <x:f>Reporting!K137</x:f>
        <x:v>0</x:v>
      </x:c>
    </x:row>
    <x:row r="146">
      <x:c r="A146" s="5" t="n">
        <x:f>Reporting!O138</x:f>
        <x:v>0</x:v>
      </x:c>
      <x:c r="B146" s="5" t="n">
        <x:f>Reporting!P138</x:f>
        <x:v>0</x:v>
      </x:c>
      <x:c r="C146" s="5" t="n">
        <x:f>Reporting!A138</x:f>
        <x:v>0</x:v>
      </x:c>
      <x:c r="D146" s="5" t="n">
        <x:f>Reporting!L138</x:f>
        <x:v>0</x:v>
      </x:c>
      <x:c r="E146" s="5" t="n">
        <x:f>Reporting!D138</x:f>
        <x:v>0</x:v>
      </x:c>
      <x:c r="F146" s="5" t="n">
        <x:f>Reporting!E138</x:f>
        <x:v>0</x:v>
      </x:c>
      <x:c r="G146" s="5" t="n">
        <x:f>Reporting!F138</x:f>
        <x:v>0</x:v>
      </x:c>
      <x:c r="H146" s="5" t="n">
        <x:f>Reporting!G138</x:f>
        <x:v>0</x:v>
      </x:c>
      <x:c r="I146" s="5" t="n">
        <x:f>Reporting!C138</x:f>
        <x:v>0</x:v>
      </x:c>
      <x:c r="J146" s="5" t="n">
        <x:f>Reporting!I138</x:f>
        <x:v>0</x:v>
      </x:c>
      <x:c r="K146" s="5" t="n">
        <x:f>Reporting!Q138</x:f>
        <x:v>0</x:v>
      </x:c>
      <x:c r="L146" s="5" t="n">
        <x:f>Reporting!R138</x:f>
        <x:v>0</x:v>
      </x:c>
      <x:c r="M146" s="5" t="n">
        <x:f>Reporting!H138</x:f>
        <x:v>0</x:v>
      </x:c>
      <x:c r="N146" s="5" t="n">
        <x:f>Reporting!K138</x:f>
        <x:v>0</x:v>
      </x:c>
    </x:row>
    <x:row r="147">
      <x:c r="A147" s="5" t="n">
        <x:f>Reporting!O139</x:f>
        <x:v>0</x:v>
      </x:c>
      <x:c r="B147" s="5" t="n">
        <x:f>Reporting!P139</x:f>
        <x:v>0</x:v>
      </x:c>
      <x:c r="C147" s="5" t="n">
        <x:f>Reporting!A139</x:f>
        <x:v>0</x:v>
      </x:c>
      <x:c r="D147" s="5" t="n">
        <x:f>Reporting!L139</x:f>
        <x:v>0</x:v>
      </x:c>
      <x:c r="E147" s="5" t="n">
        <x:f>Reporting!D139</x:f>
        <x:v>0</x:v>
      </x:c>
      <x:c r="F147" s="5" t="n">
        <x:f>Reporting!E139</x:f>
        <x:v>0</x:v>
      </x:c>
      <x:c r="G147" s="5" t="n">
        <x:f>Reporting!F139</x:f>
        <x:v>0</x:v>
      </x:c>
      <x:c r="H147" s="5" t="n">
        <x:f>Reporting!G139</x:f>
        <x:v>0</x:v>
      </x:c>
      <x:c r="I147" s="5" t="n">
        <x:f>Reporting!C139</x:f>
        <x:v>0</x:v>
      </x:c>
      <x:c r="J147" s="5" t="n">
        <x:f>Reporting!I139</x:f>
        <x:v>0</x:v>
      </x:c>
      <x:c r="K147" s="5" t="n">
        <x:f>Reporting!Q139</x:f>
        <x:v>0</x:v>
      </x:c>
      <x:c r="L147" s="5" t="n">
        <x:f>Reporting!R139</x:f>
        <x:v>0</x:v>
      </x:c>
      <x:c r="M147" s="5" t="n">
        <x:f>Reporting!H139</x:f>
        <x:v>0</x:v>
      </x:c>
      <x:c r="N147" s="5" t="n">
        <x:f>Reporting!K139</x:f>
        <x:v>0</x:v>
      </x:c>
    </x:row>
    <x:row r="148">
      <x:c r="A148" s="5" t="n">
        <x:f>Reporting!O140</x:f>
        <x:v>0</x:v>
      </x:c>
      <x:c r="B148" s="5" t="n">
        <x:f>Reporting!P140</x:f>
        <x:v>0</x:v>
      </x:c>
      <x:c r="C148" s="5" t="n">
        <x:f>Reporting!A140</x:f>
        <x:v>0</x:v>
      </x:c>
      <x:c r="D148" s="5" t="n">
        <x:f>Reporting!L140</x:f>
        <x:v>0</x:v>
      </x:c>
      <x:c r="E148" s="5" t="n">
        <x:f>Reporting!D140</x:f>
        <x:v>0</x:v>
      </x:c>
      <x:c r="F148" s="5" t="n">
        <x:f>Reporting!E140</x:f>
        <x:v>0</x:v>
      </x:c>
      <x:c r="G148" s="5" t="n">
        <x:f>Reporting!F140</x:f>
        <x:v>0</x:v>
      </x:c>
      <x:c r="H148" s="5" t="n">
        <x:f>Reporting!G140</x:f>
        <x:v>0</x:v>
      </x:c>
      <x:c r="I148" s="5" t="n">
        <x:f>Reporting!C140</x:f>
        <x:v>0</x:v>
      </x:c>
      <x:c r="J148" s="5" t="n">
        <x:f>Reporting!I140</x:f>
        <x:v>0</x:v>
      </x:c>
      <x:c r="K148" s="5" t="n">
        <x:f>Reporting!Q140</x:f>
        <x:v>0</x:v>
      </x:c>
      <x:c r="L148" s="5" t="n">
        <x:f>Reporting!R140</x:f>
        <x:v>0</x:v>
      </x:c>
      <x:c r="M148" s="5" t="n">
        <x:f>Reporting!H140</x:f>
        <x:v>0</x:v>
      </x:c>
      <x:c r="N148" s="5" t="n">
        <x:f>Reporting!K140</x:f>
        <x:v>0</x:v>
      </x:c>
    </x:row>
    <x:row r="149">
      <x:c r="A149" s="5" t="n">
        <x:f>Reporting!O141</x:f>
        <x:v>0</x:v>
      </x:c>
      <x:c r="B149" s="5" t="n">
        <x:f>Reporting!P141</x:f>
        <x:v>0</x:v>
      </x:c>
      <x:c r="C149" s="5" t="n">
        <x:f>Reporting!A141</x:f>
        <x:v>0</x:v>
      </x:c>
      <x:c r="D149" s="5" t="n">
        <x:f>Reporting!L141</x:f>
        <x:v>0</x:v>
      </x:c>
      <x:c r="E149" s="5" t="n">
        <x:f>Reporting!D141</x:f>
        <x:v>0</x:v>
      </x:c>
      <x:c r="F149" s="5" t="n">
        <x:f>Reporting!E141</x:f>
        <x:v>0</x:v>
      </x:c>
      <x:c r="G149" s="5" t="n">
        <x:f>Reporting!F141</x:f>
        <x:v>0</x:v>
      </x:c>
      <x:c r="H149" s="5" t="n">
        <x:f>Reporting!G141</x:f>
        <x:v>0</x:v>
      </x:c>
      <x:c r="I149" s="5" t="n">
        <x:f>Reporting!C141</x:f>
        <x:v>0</x:v>
      </x:c>
      <x:c r="J149" s="5" t="n">
        <x:f>Reporting!I141</x:f>
        <x:v>0</x:v>
      </x:c>
      <x:c r="K149" s="5" t="n">
        <x:f>Reporting!Q141</x:f>
        <x:v>0</x:v>
      </x:c>
      <x:c r="L149" s="5" t="n">
        <x:f>Reporting!R141</x:f>
        <x:v>0</x:v>
      </x:c>
      <x:c r="M149" s="5" t="n">
        <x:f>Reporting!H141</x:f>
        <x:v>0</x:v>
      </x:c>
      <x:c r="N149" s="5" t="n">
        <x:f>Reporting!K141</x:f>
        <x:v>0</x:v>
      </x:c>
    </x:row>
    <x:row r="150">
      <x:c r="A150" s="5" t="n">
        <x:f>Reporting!O142</x:f>
        <x:v>0</x:v>
      </x:c>
      <x:c r="B150" s="5" t="n">
        <x:f>Reporting!P142</x:f>
        <x:v>0</x:v>
      </x:c>
      <x:c r="C150" s="5" t="n">
        <x:f>Reporting!A142</x:f>
        <x:v>0</x:v>
      </x:c>
      <x:c r="D150" s="5" t="n">
        <x:f>Reporting!L142</x:f>
        <x:v>0</x:v>
      </x:c>
      <x:c r="E150" s="5" t="n">
        <x:f>Reporting!D142</x:f>
        <x:v>0</x:v>
      </x:c>
      <x:c r="F150" s="5" t="n">
        <x:f>Reporting!E142</x:f>
        <x:v>0</x:v>
      </x:c>
      <x:c r="G150" s="5" t="n">
        <x:f>Reporting!F142</x:f>
        <x:v>0</x:v>
      </x:c>
      <x:c r="H150" s="5" t="n">
        <x:f>Reporting!G142</x:f>
        <x:v>0</x:v>
      </x:c>
      <x:c r="I150" s="5" t="n">
        <x:f>Reporting!C142</x:f>
        <x:v>0</x:v>
      </x:c>
      <x:c r="J150" s="5" t="n">
        <x:f>Reporting!I142</x:f>
        <x:v>0</x:v>
      </x:c>
      <x:c r="K150" s="5" t="n">
        <x:f>Reporting!Q142</x:f>
        <x:v>0</x:v>
      </x:c>
      <x:c r="L150" s="5" t="n">
        <x:f>Reporting!R142</x:f>
        <x:v>0</x:v>
      </x:c>
      <x:c r="M150" s="5" t="n">
        <x:f>Reporting!H142</x:f>
        <x:v>0</x:v>
      </x:c>
      <x:c r="N150" s="5" t="n">
        <x:f>Reporting!K142</x:f>
        <x:v>0</x:v>
      </x:c>
    </x:row>
    <x:row r="151">
      <x:c r="A151" s="5" t="n">
        <x:f>Reporting!O143</x:f>
        <x:v>0</x:v>
      </x:c>
      <x:c r="B151" s="5" t="n">
        <x:f>Reporting!P143</x:f>
        <x:v>0</x:v>
      </x:c>
      <x:c r="C151" s="5" t="n">
        <x:f>Reporting!A143</x:f>
        <x:v>0</x:v>
      </x:c>
      <x:c r="D151" s="5" t="n">
        <x:f>Reporting!L143</x:f>
        <x:v>0</x:v>
      </x:c>
      <x:c r="E151" s="5" t="n">
        <x:f>Reporting!D143</x:f>
        <x:v>0</x:v>
      </x:c>
      <x:c r="F151" s="5" t="n">
        <x:f>Reporting!E143</x:f>
        <x:v>0</x:v>
      </x:c>
      <x:c r="G151" s="5" t="n">
        <x:f>Reporting!F143</x:f>
        <x:v>0</x:v>
      </x:c>
      <x:c r="H151" s="5" t="n">
        <x:f>Reporting!G143</x:f>
        <x:v>0</x:v>
      </x:c>
      <x:c r="I151" s="5" t="n">
        <x:f>Reporting!C143</x:f>
        <x:v>0</x:v>
      </x:c>
      <x:c r="J151" s="5" t="n">
        <x:f>Reporting!I143</x:f>
        <x:v>0</x:v>
      </x:c>
      <x:c r="K151" s="5" t="n">
        <x:f>Reporting!Q143</x:f>
        <x:v>0</x:v>
      </x:c>
      <x:c r="L151" s="5" t="n">
        <x:f>Reporting!R143</x:f>
        <x:v>0</x:v>
      </x:c>
      <x:c r="M151" s="5" t="n">
        <x:f>Reporting!H143</x:f>
        <x:v>0</x:v>
      </x:c>
      <x:c r="N151" s="5" t="n">
        <x:f>Reporting!K143</x:f>
        <x:v>0</x:v>
      </x:c>
    </x:row>
    <x:row r="152">
      <x:c r="A152" s="5" t="n">
        <x:f>Reporting!O144</x:f>
        <x:v>0</x:v>
      </x:c>
      <x:c r="B152" s="5" t="n">
        <x:f>Reporting!P144</x:f>
        <x:v>0</x:v>
      </x:c>
      <x:c r="C152" s="5" t="n">
        <x:f>Reporting!A144</x:f>
        <x:v>0</x:v>
      </x:c>
      <x:c r="D152" s="5" t="n">
        <x:f>Reporting!L144</x:f>
        <x:v>0</x:v>
      </x:c>
      <x:c r="E152" s="5" t="n">
        <x:f>Reporting!D144</x:f>
        <x:v>0</x:v>
      </x:c>
      <x:c r="F152" s="5" t="n">
        <x:f>Reporting!E144</x:f>
        <x:v>0</x:v>
      </x:c>
      <x:c r="G152" s="5" t="n">
        <x:f>Reporting!F144</x:f>
        <x:v>0</x:v>
      </x:c>
      <x:c r="H152" s="5" t="n">
        <x:f>Reporting!G144</x:f>
        <x:v>0</x:v>
      </x:c>
      <x:c r="I152" s="5" t="n">
        <x:f>Reporting!C144</x:f>
        <x:v>0</x:v>
      </x:c>
      <x:c r="J152" s="5" t="n">
        <x:f>Reporting!I144</x:f>
        <x:v>0</x:v>
      </x:c>
      <x:c r="K152" s="5" t="n">
        <x:f>Reporting!Q144</x:f>
        <x:v>0</x:v>
      </x:c>
      <x:c r="L152" s="5" t="n">
        <x:f>Reporting!R144</x:f>
        <x:v>0</x:v>
      </x:c>
      <x:c r="M152" s="5" t="n">
        <x:f>Reporting!H144</x:f>
        <x:v>0</x:v>
      </x:c>
      <x:c r="N152" s="5" t="n">
        <x:f>Reporting!K144</x:f>
        <x:v>0</x:v>
      </x:c>
    </x:row>
    <x:row r="153">
      <x:c r="A153" s="5" t="n">
        <x:f>Reporting!O145</x:f>
        <x:v>0</x:v>
      </x:c>
      <x:c r="B153" s="5" t="n">
        <x:f>Reporting!P145</x:f>
        <x:v>0</x:v>
      </x:c>
      <x:c r="C153" s="5" t="n">
        <x:f>Reporting!A145</x:f>
        <x:v>0</x:v>
      </x:c>
      <x:c r="D153" s="5" t="n">
        <x:f>Reporting!L145</x:f>
        <x:v>0</x:v>
      </x:c>
      <x:c r="E153" s="5" t="n">
        <x:f>Reporting!D145</x:f>
        <x:v>0</x:v>
      </x:c>
      <x:c r="F153" s="5" t="n">
        <x:f>Reporting!E145</x:f>
        <x:v>0</x:v>
      </x:c>
      <x:c r="G153" s="5" t="n">
        <x:f>Reporting!F145</x:f>
        <x:v>0</x:v>
      </x:c>
      <x:c r="H153" s="5" t="n">
        <x:f>Reporting!G145</x:f>
        <x:v>0</x:v>
      </x:c>
      <x:c r="I153" s="5" t="n">
        <x:f>Reporting!C145</x:f>
        <x:v>0</x:v>
      </x:c>
      <x:c r="J153" s="5" t="n">
        <x:f>Reporting!I145</x:f>
        <x:v>0</x:v>
      </x:c>
      <x:c r="K153" s="5" t="n">
        <x:f>Reporting!Q145</x:f>
        <x:v>0</x:v>
      </x:c>
      <x:c r="L153" s="5" t="n">
        <x:f>Reporting!R145</x:f>
        <x:v>0</x:v>
      </x:c>
      <x:c r="M153" s="5" t="n">
        <x:f>Reporting!H145</x:f>
        <x:v>0</x:v>
      </x:c>
      <x:c r="N153" s="5" t="n">
        <x:f>Reporting!K145</x:f>
        <x:v>0</x:v>
      </x:c>
    </x:row>
    <x:row r="154">
      <x:c r="A154" s="5" t="n">
        <x:f>Reporting!O146</x:f>
        <x:v>0</x:v>
      </x:c>
      <x:c r="B154" s="5" t="n">
        <x:f>Reporting!P146</x:f>
        <x:v>0</x:v>
      </x:c>
      <x:c r="C154" s="5" t="n">
        <x:f>Reporting!A146</x:f>
        <x:v>0</x:v>
      </x:c>
      <x:c r="D154" s="5" t="n">
        <x:f>Reporting!L146</x:f>
        <x:v>0</x:v>
      </x:c>
      <x:c r="E154" s="5" t="n">
        <x:f>Reporting!D146</x:f>
        <x:v>0</x:v>
      </x:c>
      <x:c r="F154" s="5" t="n">
        <x:f>Reporting!E146</x:f>
        <x:v>0</x:v>
      </x:c>
      <x:c r="G154" s="5" t="n">
        <x:f>Reporting!F146</x:f>
        <x:v>0</x:v>
      </x:c>
      <x:c r="H154" s="5" t="n">
        <x:f>Reporting!G146</x:f>
        <x:v>0</x:v>
      </x:c>
      <x:c r="I154" s="5" t="n">
        <x:f>Reporting!C146</x:f>
        <x:v>0</x:v>
      </x:c>
      <x:c r="J154" s="5" t="n">
        <x:f>Reporting!I146</x:f>
        <x:v>0</x:v>
      </x:c>
      <x:c r="K154" s="5" t="n">
        <x:f>Reporting!Q146</x:f>
        <x:v>0</x:v>
      </x:c>
      <x:c r="L154" s="5" t="n">
        <x:f>Reporting!R146</x:f>
        <x:v>0</x:v>
      </x:c>
      <x:c r="M154" s="5" t="n">
        <x:f>Reporting!H146</x:f>
        <x:v>0</x:v>
      </x:c>
      <x:c r="N154" s="5" t="n">
        <x:f>Reporting!K146</x:f>
        <x:v>0</x:v>
      </x:c>
    </x:row>
    <x:row r="155">
      <x:c r="A155" s="5" t="n">
        <x:f>Reporting!O147</x:f>
        <x:v>0</x:v>
      </x:c>
      <x:c r="B155" s="5" t="n">
        <x:f>Reporting!P147</x:f>
        <x:v>0</x:v>
      </x:c>
      <x:c r="C155" s="5" t="n">
        <x:f>Reporting!A147</x:f>
        <x:v>0</x:v>
      </x:c>
      <x:c r="D155" s="5" t="n">
        <x:f>Reporting!L147</x:f>
        <x:v>0</x:v>
      </x:c>
      <x:c r="E155" s="5" t="n">
        <x:f>Reporting!D147</x:f>
        <x:v>0</x:v>
      </x:c>
      <x:c r="F155" s="5" t="n">
        <x:f>Reporting!E147</x:f>
        <x:v>0</x:v>
      </x:c>
      <x:c r="G155" s="5" t="n">
        <x:f>Reporting!F147</x:f>
        <x:v>0</x:v>
      </x:c>
      <x:c r="H155" s="5" t="n">
        <x:f>Reporting!G147</x:f>
        <x:v>0</x:v>
      </x:c>
      <x:c r="I155" s="5" t="n">
        <x:f>Reporting!C147</x:f>
        <x:v>0</x:v>
      </x:c>
      <x:c r="J155" s="5" t="n">
        <x:f>Reporting!I147</x:f>
        <x:v>0</x:v>
      </x:c>
      <x:c r="K155" s="5" t="n">
        <x:f>Reporting!Q147</x:f>
        <x:v>0</x:v>
      </x:c>
      <x:c r="L155" s="5" t="n">
        <x:f>Reporting!R147</x:f>
        <x:v>0</x:v>
      </x:c>
      <x:c r="M155" s="5" t="n">
        <x:f>Reporting!H147</x:f>
        <x:v>0</x:v>
      </x:c>
      <x:c r="N155" s="5" t="n">
        <x:f>Reporting!K147</x:f>
        <x:v>0</x:v>
      </x:c>
    </x:row>
    <x:row r="156">
      <x:c r="A156" s="5" t="n">
        <x:f>Reporting!O148</x:f>
        <x:v>0</x:v>
      </x:c>
      <x:c r="B156" s="5" t="n">
        <x:f>Reporting!P148</x:f>
        <x:v>0</x:v>
      </x:c>
      <x:c r="C156" s="5" t="n">
        <x:f>Reporting!A148</x:f>
        <x:v>0</x:v>
      </x:c>
      <x:c r="D156" s="5" t="n">
        <x:f>Reporting!L148</x:f>
        <x:v>0</x:v>
      </x:c>
      <x:c r="E156" s="5" t="n">
        <x:f>Reporting!D148</x:f>
        <x:v>0</x:v>
      </x:c>
      <x:c r="F156" s="5" t="n">
        <x:f>Reporting!E148</x:f>
        <x:v>0</x:v>
      </x:c>
      <x:c r="G156" s="5" t="n">
        <x:f>Reporting!F148</x:f>
        <x:v>0</x:v>
      </x:c>
      <x:c r="H156" s="5" t="n">
        <x:f>Reporting!G148</x:f>
        <x:v>0</x:v>
      </x:c>
      <x:c r="I156" s="5" t="n">
        <x:f>Reporting!C148</x:f>
        <x:v>0</x:v>
      </x:c>
      <x:c r="J156" s="5" t="n">
        <x:f>Reporting!I148</x:f>
        <x:v>0</x:v>
      </x:c>
      <x:c r="K156" s="5" t="n">
        <x:f>Reporting!Q148</x:f>
        <x:v>0</x:v>
      </x:c>
      <x:c r="L156" s="5" t="n">
        <x:f>Reporting!R148</x:f>
        <x:v>0</x:v>
      </x:c>
      <x:c r="M156" s="5" t="n">
        <x:f>Reporting!H148</x:f>
        <x:v>0</x:v>
      </x:c>
      <x:c r="N156" s="5" t="n">
        <x:f>Reporting!K148</x:f>
        <x:v>0</x:v>
      </x:c>
    </x:row>
    <x:row r="157">
      <x:c r="A157" s="5" t="n">
        <x:f>Reporting!O149</x:f>
        <x:v>0</x:v>
      </x:c>
      <x:c r="B157" s="5" t="n">
        <x:f>Reporting!P149</x:f>
        <x:v>0</x:v>
      </x:c>
      <x:c r="C157" s="5" t="n">
        <x:f>Reporting!A149</x:f>
        <x:v>0</x:v>
      </x:c>
      <x:c r="D157" s="5" t="n">
        <x:f>Reporting!L149</x:f>
        <x:v>0</x:v>
      </x:c>
      <x:c r="E157" s="5" t="n">
        <x:f>Reporting!D149</x:f>
        <x:v>0</x:v>
      </x:c>
      <x:c r="F157" s="5" t="n">
        <x:f>Reporting!E149</x:f>
        <x:v>0</x:v>
      </x:c>
      <x:c r="G157" s="5" t="n">
        <x:f>Reporting!F149</x:f>
        <x:v>0</x:v>
      </x:c>
      <x:c r="H157" s="5" t="n">
        <x:f>Reporting!G149</x:f>
        <x:v>0</x:v>
      </x:c>
      <x:c r="I157" s="5" t="n">
        <x:f>Reporting!C149</x:f>
        <x:v>0</x:v>
      </x:c>
      <x:c r="J157" s="5" t="n">
        <x:f>Reporting!I149</x:f>
        <x:v>0</x:v>
      </x:c>
      <x:c r="K157" s="5" t="n">
        <x:f>Reporting!Q149</x:f>
        <x:v>0</x:v>
      </x:c>
      <x:c r="L157" s="5" t="n">
        <x:f>Reporting!R149</x:f>
        <x:v>0</x:v>
      </x:c>
      <x:c r="M157" s="5" t="n">
        <x:f>Reporting!H149</x:f>
        <x:v>0</x:v>
      </x:c>
      <x:c r="N157" s="5" t="n">
        <x:f>Reporting!K149</x:f>
        <x:v>0</x:v>
      </x:c>
    </x:row>
    <x:row r="158">
      <x:c r="A158" s="5" t="n">
        <x:f>Reporting!O150</x:f>
        <x:v>0</x:v>
      </x:c>
      <x:c r="B158" s="5" t="n">
        <x:f>Reporting!P150</x:f>
        <x:v>0</x:v>
      </x:c>
      <x:c r="C158" s="5" t="n">
        <x:f>Reporting!A150</x:f>
        <x:v>0</x:v>
      </x:c>
      <x:c r="D158" s="5" t="n">
        <x:f>Reporting!L150</x:f>
        <x:v>0</x:v>
      </x:c>
      <x:c r="E158" s="5" t="n">
        <x:f>Reporting!D150</x:f>
        <x:v>0</x:v>
      </x:c>
      <x:c r="F158" s="5" t="n">
        <x:f>Reporting!E150</x:f>
        <x:v>0</x:v>
      </x:c>
      <x:c r="G158" s="5" t="n">
        <x:f>Reporting!F150</x:f>
        <x:v>0</x:v>
      </x:c>
      <x:c r="H158" s="5" t="n">
        <x:f>Reporting!G150</x:f>
        <x:v>0</x:v>
      </x:c>
      <x:c r="I158" s="5" t="n">
        <x:f>Reporting!C150</x:f>
        <x:v>0</x:v>
      </x:c>
      <x:c r="J158" s="5" t="n">
        <x:f>Reporting!I150</x:f>
        <x:v>0</x:v>
      </x:c>
      <x:c r="K158" s="5" t="n">
        <x:f>Reporting!Q150</x:f>
        <x:v>0</x:v>
      </x:c>
      <x:c r="L158" s="5" t="n">
        <x:f>Reporting!R150</x:f>
        <x:v>0</x:v>
      </x:c>
      <x:c r="M158" s="5" t="n">
        <x:f>Reporting!H150</x:f>
        <x:v>0</x:v>
      </x:c>
      <x:c r="N158" s="5" t="n">
        <x:f>Reporting!K150</x:f>
        <x:v>0</x:v>
      </x:c>
    </x:row>
    <x:row r="159">
      <x:c r="A159" s="5" t="n">
        <x:f>Reporting!O151</x:f>
        <x:v>0</x:v>
      </x:c>
      <x:c r="B159" s="5" t="n">
        <x:f>Reporting!P151</x:f>
        <x:v>0</x:v>
      </x:c>
      <x:c r="C159" s="5" t="n">
        <x:f>Reporting!A151</x:f>
        <x:v>0</x:v>
      </x:c>
      <x:c r="D159" s="5" t="n">
        <x:f>Reporting!L151</x:f>
        <x:v>0</x:v>
      </x:c>
      <x:c r="E159" s="5" t="n">
        <x:f>Reporting!D151</x:f>
        <x:v>0</x:v>
      </x:c>
      <x:c r="F159" s="5" t="n">
        <x:f>Reporting!E151</x:f>
        <x:v>0</x:v>
      </x:c>
      <x:c r="G159" s="5" t="n">
        <x:f>Reporting!F151</x:f>
        <x:v>0</x:v>
      </x:c>
      <x:c r="H159" s="5" t="n">
        <x:f>Reporting!G151</x:f>
        <x:v>0</x:v>
      </x:c>
      <x:c r="I159" s="5" t="n">
        <x:f>Reporting!C151</x:f>
        <x:v>0</x:v>
      </x:c>
      <x:c r="J159" s="5" t="n">
        <x:f>Reporting!I151</x:f>
        <x:v>0</x:v>
      </x:c>
      <x:c r="K159" s="5" t="n">
        <x:f>Reporting!Q151</x:f>
        <x:v>0</x:v>
      </x:c>
      <x:c r="L159" s="5" t="n">
        <x:f>Reporting!R151</x:f>
        <x:v>0</x:v>
      </x:c>
      <x:c r="M159" s="5" t="n">
        <x:f>Reporting!H151</x:f>
        <x:v>0</x:v>
      </x:c>
      <x:c r="N159" s="5" t="n">
        <x:f>Reporting!K151</x:f>
        <x:v>0</x:v>
      </x:c>
    </x:row>
    <x:row r="160">
      <x:c r="A160" s="5" t="n">
        <x:f>Reporting!O152</x:f>
        <x:v>0</x:v>
      </x:c>
      <x:c r="B160" s="5" t="n">
        <x:f>Reporting!P152</x:f>
        <x:v>0</x:v>
      </x:c>
      <x:c r="C160" s="5" t="n">
        <x:f>Reporting!A152</x:f>
        <x:v>0</x:v>
      </x:c>
      <x:c r="D160" s="5" t="n">
        <x:f>Reporting!L152</x:f>
        <x:v>0</x:v>
      </x:c>
      <x:c r="E160" s="5" t="n">
        <x:f>Reporting!D152</x:f>
        <x:v>0</x:v>
      </x:c>
      <x:c r="F160" s="5" t="n">
        <x:f>Reporting!E152</x:f>
        <x:v>0</x:v>
      </x:c>
      <x:c r="G160" s="5" t="n">
        <x:f>Reporting!F152</x:f>
        <x:v>0</x:v>
      </x:c>
      <x:c r="H160" s="5" t="n">
        <x:f>Reporting!G152</x:f>
        <x:v>0</x:v>
      </x:c>
      <x:c r="I160" s="5" t="n">
        <x:f>Reporting!C152</x:f>
        <x:v>0</x:v>
      </x:c>
      <x:c r="J160" s="5" t="n">
        <x:f>Reporting!I152</x:f>
        <x:v>0</x:v>
      </x:c>
      <x:c r="K160" s="5" t="n">
        <x:f>Reporting!Q152</x:f>
        <x:v>0</x:v>
      </x:c>
      <x:c r="L160" s="5" t="n">
        <x:f>Reporting!R152</x:f>
        <x:v>0</x:v>
      </x:c>
      <x:c r="M160" s="5" t="n">
        <x:f>Reporting!H152</x:f>
        <x:v>0</x:v>
      </x:c>
      <x:c r="N160" s="5" t="n">
        <x:f>Reporting!K152</x:f>
        <x:v>0</x:v>
      </x:c>
    </x:row>
    <x:row r="161">
      <x:c r="A161" s="5" t="n">
        <x:f>Reporting!O153</x:f>
        <x:v>0</x:v>
      </x:c>
      <x:c r="B161" s="5" t="n">
        <x:f>Reporting!P153</x:f>
        <x:v>0</x:v>
      </x:c>
      <x:c r="C161" s="5" t="n">
        <x:f>Reporting!A153</x:f>
        <x:v>0</x:v>
      </x:c>
      <x:c r="D161" s="5" t="n">
        <x:f>Reporting!L153</x:f>
        <x:v>0</x:v>
      </x:c>
      <x:c r="E161" s="5" t="n">
        <x:f>Reporting!D153</x:f>
        <x:v>0</x:v>
      </x:c>
      <x:c r="F161" s="5" t="n">
        <x:f>Reporting!E153</x:f>
        <x:v>0</x:v>
      </x:c>
      <x:c r="G161" s="5" t="n">
        <x:f>Reporting!F153</x:f>
        <x:v>0</x:v>
      </x:c>
      <x:c r="H161" s="5" t="n">
        <x:f>Reporting!G153</x:f>
        <x:v>0</x:v>
      </x:c>
      <x:c r="I161" s="5" t="n">
        <x:f>Reporting!C153</x:f>
        <x:v>0</x:v>
      </x:c>
      <x:c r="J161" s="5" t="n">
        <x:f>Reporting!I153</x:f>
        <x:v>0</x:v>
      </x:c>
      <x:c r="K161" s="5" t="n">
        <x:f>Reporting!Q153</x:f>
        <x:v>0</x:v>
      </x:c>
      <x:c r="L161" s="5" t="n">
        <x:f>Reporting!R153</x:f>
        <x:v>0</x:v>
      </x:c>
      <x:c r="M161" s="5" t="n">
        <x:f>Reporting!H153</x:f>
        <x:v>0</x:v>
      </x:c>
      <x:c r="N161" s="5" t="n">
        <x:f>Reporting!K153</x:f>
        <x:v>0</x:v>
      </x:c>
    </x:row>
    <x:row r="162">
      <x:c r="A162" s="5" t="n">
        <x:f>Reporting!O154</x:f>
        <x:v>0</x:v>
      </x:c>
      <x:c r="B162" s="5" t="n">
        <x:f>Reporting!P154</x:f>
        <x:v>0</x:v>
      </x:c>
      <x:c r="C162" s="5" t="n">
        <x:f>Reporting!A154</x:f>
        <x:v>0</x:v>
      </x:c>
      <x:c r="D162" s="5" t="n">
        <x:f>Reporting!L154</x:f>
        <x:v>0</x:v>
      </x:c>
      <x:c r="E162" s="5" t="n">
        <x:f>Reporting!D154</x:f>
        <x:v>0</x:v>
      </x:c>
      <x:c r="F162" s="5" t="n">
        <x:f>Reporting!E154</x:f>
        <x:v>0</x:v>
      </x:c>
      <x:c r="G162" s="5" t="n">
        <x:f>Reporting!F154</x:f>
        <x:v>0</x:v>
      </x:c>
      <x:c r="H162" s="5" t="n">
        <x:f>Reporting!G154</x:f>
        <x:v>0</x:v>
      </x:c>
      <x:c r="I162" s="5" t="n">
        <x:f>Reporting!C154</x:f>
        <x:v>0</x:v>
      </x:c>
      <x:c r="J162" s="5" t="n">
        <x:f>Reporting!I154</x:f>
        <x:v>0</x:v>
      </x:c>
      <x:c r="K162" s="5" t="n">
        <x:f>Reporting!Q154</x:f>
        <x:v>0</x:v>
      </x:c>
      <x:c r="L162" s="5" t="n">
        <x:f>Reporting!R154</x:f>
        <x:v>0</x:v>
      </x:c>
      <x:c r="M162" s="5" t="n">
        <x:f>Reporting!H154</x:f>
        <x:v>0</x:v>
      </x:c>
      <x:c r="N162" s="5" t="n">
        <x:f>Reporting!K154</x:f>
        <x:v>0</x:v>
      </x:c>
    </x:row>
    <x:row r="163">
      <x:c r="A163" s="5" t="n">
        <x:f>Reporting!O155</x:f>
        <x:v>0</x:v>
      </x:c>
      <x:c r="B163" s="5" t="n">
        <x:f>Reporting!P155</x:f>
        <x:v>0</x:v>
      </x:c>
      <x:c r="C163" s="5" t="n">
        <x:f>Reporting!A155</x:f>
        <x:v>0</x:v>
      </x:c>
      <x:c r="D163" s="5" t="n">
        <x:f>Reporting!L155</x:f>
        <x:v>0</x:v>
      </x:c>
      <x:c r="E163" s="5" t="n">
        <x:f>Reporting!D155</x:f>
        <x:v>0</x:v>
      </x:c>
      <x:c r="F163" s="5" t="n">
        <x:f>Reporting!E155</x:f>
        <x:v>0</x:v>
      </x:c>
      <x:c r="G163" s="5" t="n">
        <x:f>Reporting!F155</x:f>
        <x:v>0</x:v>
      </x:c>
      <x:c r="H163" s="5" t="n">
        <x:f>Reporting!G155</x:f>
        <x:v>0</x:v>
      </x:c>
      <x:c r="I163" s="5" t="n">
        <x:f>Reporting!C155</x:f>
        <x:v>0</x:v>
      </x:c>
      <x:c r="J163" s="5" t="n">
        <x:f>Reporting!I155</x:f>
        <x:v>0</x:v>
      </x:c>
      <x:c r="K163" s="5" t="n">
        <x:f>Reporting!Q155</x:f>
        <x:v>0</x:v>
      </x:c>
      <x:c r="L163" s="5" t="n">
        <x:f>Reporting!R155</x:f>
        <x:v>0</x:v>
      </x:c>
      <x:c r="M163" s="5" t="n">
        <x:f>Reporting!H155</x:f>
        <x:v>0</x:v>
      </x:c>
      <x:c r="N163" s="5" t="n">
        <x:f>Reporting!K155</x:f>
        <x:v>0</x:v>
      </x:c>
    </x:row>
    <x:row r="164">
      <x:c r="A164" s="5" t="n">
        <x:f>Reporting!O156</x:f>
        <x:v>0</x:v>
      </x:c>
      <x:c r="B164" s="5" t="n">
        <x:f>Reporting!P156</x:f>
        <x:v>0</x:v>
      </x:c>
      <x:c r="C164" s="5" t="n">
        <x:f>Reporting!A156</x:f>
        <x:v>0</x:v>
      </x:c>
      <x:c r="D164" s="5" t="n">
        <x:f>Reporting!L156</x:f>
        <x:v>0</x:v>
      </x:c>
      <x:c r="E164" s="5" t="n">
        <x:f>Reporting!D156</x:f>
        <x:v>0</x:v>
      </x:c>
      <x:c r="F164" s="5" t="n">
        <x:f>Reporting!E156</x:f>
        <x:v>0</x:v>
      </x:c>
      <x:c r="G164" s="5" t="n">
        <x:f>Reporting!F156</x:f>
        <x:v>0</x:v>
      </x:c>
      <x:c r="H164" s="5" t="n">
        <x:f>Reporting!G156</x:f>
        <x:v>0</x:v>
      </x:c>
      <x:c r="I164" s="5" t="n">
        <x:f>Reporting!C156</x:f>
        <x:v>0</x:v>
      </x:c>
      <x:c r="J164" s="5" t="n">
        <x:f>Reporting!I156</x:f>
        <x:v>0</x:v>
      </x:c>
      <x:c r="K164" s="5" t="n">
        <x:f>Reporting!Q156</x:f>
        <x:v>0</x:v>
      </x:c>
      <x:c r="L164" s="5" t="n">
        <x:f>Reporting!R156</x:f>
        <x:v>0</x:v>
      </x:c>
      <x:c r="M164" s="5" t="n">
        <x:f>Reporting!H156</x:f>
        <x:v>0</x:v>
      </x:c>
      <x:c r="N164" s="5" t="n">
        <x:f>Reporting!K156</x:f>
        <x:v>0</x:v>
      </x:c>
    </x:row>
    <x:row r="165">
      <x:c r="A165" s="5" t="n">
        <x:f>Reporting!O157</x:f>
        <x:v>0</x:v>
      </x:c>
      <x:c r="B165" s="5" t="n">
        <x:f>Reporting!P157</x:f>
        <x:v>0</x:v>
      </x:c>
      <x:c r="C165" s="5" t="n">
        <x:f>Reporting!A157</x:f>
        <x:v>0</x:v>
      </x:c>
      <x:c r="D165" s="5" t="n">
        <x:f>Reporting!L157</x:f>
        <x:v>0</x:v>
      </x:c>
      <x:c r="E165" s="5" t="n">
        <x:f>Reporting!D157</x:f>
        <x:v>0</x:v>
      </x:c>
      <x:c r="F165" s="5" t="n">
        <x:f>Reporting!E157</x:f>
        <x:v>0</x:v>
      </x:c>
      <x:c r="G165" s="5" t="n">
        <x:f>Reporting!F157</x:f>
        <x:v>0</x:v>
      </x:c>
      <x:c r="H165" s="5" t="n">
        <x:f>Reporting!G157</x:f>
        <x:v>0</x:v>
      </x:c>
      <x:c r="I165" s="5" t="n">
        <x:f>Reporting!C157</x:f>
        <x:v>0</x:v>
      </x:c>
      <x:c r="J165" s="5" t="n">
        <x:f>Reporting!I157</x:f>
        <x:v>0</x:v>
      </x:c>
      <x:c r="K165" s="5" t="n">
        <x:f>Reporting!Q157</x:f>
        <x:v>0</x:v>
      </x:c>
      <x:c r="L165" s="5" t="n">
        <x:f>Reporting!R157</x:f>
        <x:v>0</x:v>
      </x:c>
      <x:c r="M165" s="5" t="n">
        <x:f>Reporting!H157</x:f>
        <x:v>0</x:v>
      </x:c>
      <x:c r="N165" s="5" t="n">
        <x:f>Reporting!K157</x:f>
        <x:v>0</x:v>
      </x:c>
    </x:row>
    <x:row r="166">
      <x:c r="A166" s="5" t="n">
        <x:f>Reporting!O158</x:f>
        <x:v>0</x:v>
      </x:c>
      <x:c r="B166" s="5" t="n">
        <x:f>Reporting!P158</x:f>
        <x:v>0</x:v>
      </x:c>
      <x:c r="C166" s="5" t="n">
        <x:f>Reporting!A158</x:f>
        <x:v>0</x:v>
      </x:c>
      <x:c r="D166" s="5" t="n">
        <x:f>Reporting!L158</x:f>
        <x:v>0</x:v>
      </x:c>
      <x:c r="E166" s="5" t="n">
        <x:f>Reporting!D158</x:f>
        <x:v>0</x:v>
      </x:c>
      <x:c r="F166" s="5" t="n">
        <x:f>Reporting!E158</x:f>
        <x:v>0</x:v>
      </x:c>
      <x:c r="G166" s="5" t="n">
        <x:f>Reporting!F158</x:f>
        <x:v>0</x:v>
      </x:c>
      <x:c r="H166" s="5" t="n">
        <x:f>Reporting!G158</x:f>
        <x:v>0</x:v>
      </x:c>
      <x:c r="I166" s="5" t="n">
        <x:f>Reporting!C158</x:f>
        <x:v>0</x:v>
      </x:c>
      <x:c r="J166" s="5" t="n">
        <x:f>Reporting!I158</x:f>
        <x:v>0</x:v>
      </x:c>
      <x:c r="K166" s="5" t="n">
        <x:f>Reporting!Q158</x:f>
        <x:v>0</x:v>
      </x:c>
      <x:c r="L166" s="5" t="n">
        <x:f>Reporting!R158</x:f>
        <x:v>0</x:v>
      </x:c>
      <x:c r="M166" s="5" t="n">
        <x:f>Reporting!H158</x:f>
        <x:v>0</x:v>
      </x:c>
      <x:c r="N166" s="5" t="n">
        <x:f>Reporting!K158</x:f>
        <x:v>0</x:v>
      </x:c>
    </x:row>
    <x:row r="167">
      <x:c r="A167" s="5" t="n">
        <x:f>Reporting!O159</x:f>
        <x:v>0</x:v>
      </x:c>
      <x:c r="B167" s="5" t="n">
        <x:f>Reporting!P159</x:f>
        <x:v>0</x:v>
      </x:c>
      <x:c r="C167" s="5" t="n">
        <x:f>Reporting!A159</x:f>
        <x:v>0</x:v>
      </x:c>
      <x:c r="D167" s="5" t="n">
        <x:f>Reporting!L159</x:f>
        <x:v>0</x:v>
      </x:c>
      <x:c r="E167" s="5" t="n">
        <x:f>Reporting!D159</x:f>
        <x:v>0</x:v>
      </x:c>
      <x:c r="F167" s="5" t="n">
        <x:f>Reporting!E159</x:f>
        <x:v>0</x:v>
      </x:c>
      <x:c r="G167" s="5" t="n">
        <x:f>Reporting!F159</x:f>
        <x:v>0</x:v>
      </x:c>
      <x:c r="H167" s="5" t="n">
        <x:f>Reporting!G159</x:f>
        <x:v>0</x:v>
      </x:c>
      <x:c r="I167" s="5" t="n">
        <x:f>Reporting!C159</x:f>
        <x:v>0</x:v>
      </x:c>
      <x:c r="J167" s="5" t="n">
        <x:f>Reporting!I159</x:f>
        <x:v>0</x:v>
      </x:c>
      <x:c r="K167" s="5" t="n">
        <x:f>Reporting!Q159</x:f>
        <x:v>0</x:v>
      </x:c>
      <x:c r="L167" s="5" t="n">
        <x:f>Reporting!R159</x:f>
        <x:v>0</x:v>
      </x:c>
      <x:c r="M167" s="5" t="n">
        <x:f>Reporting!H159</x:f>
        <x:v>0</x:v>
      </x:c>
      <x:c r="N167" s="5" t="n">
        <x:f>Reporting!K159</x:f>
        <x:v>0</x:v>
      </x:c>
    </x:row>
    <x:row r="168">
      <x:c r="A168" s="5" t="n">
        <x:f>Reporting!O160</x:f>
        <x:v>0</x:v>
      </x:c>
      <x:c r="B168" s="5" t="n">
        <x:f>Reporting!P160</x:f>
        <x:v>0</x:v>
      </x:c>
      <x:c r="C168" s="5" t="n">
        <x:f>Reporting!A160</x:f>
        <x:v>0</x:v>
      </x:c>
      <x:c r="D168" s="5" t="n">
        <x:f>Reporting!L160</x:f>
        <x:v>0</x:v>
      </x:c>
      <x:c r="E168" s="5" t="n">
        <x:f>Reporting!D160</x:f>
        <x:v>0</x:v>
      </x:c>
      <x:c r="F168" s="5" t="n">
        <x:f>Reporting!E160</x:f>
        <x:v>0</x:v>
      </x:c>
      <x:c r="G168" s="5" t="n">
        <x:f>Reporting!F160</x:f>
        <x:v>0</x:v>
      </x:c>
      <x:c r="H168" s="5" t="n">
        <x:f>Reporting!G160</x:f>
        <x:v>0</x:v>
      </x:c>
      <x:c r="I168" s="5" t="n">
        <x:f>Reporting!C160</x:f>
        <x:v>0</x:v>
      </x:c>
      <x:c r="J168" s="5" t="n">
        <x:f>Reporting!I160</x:f>
        <x:v>0</x:v>
      </x:c>
      <x:c r="K168" s="5" t="n">
        <x:f>Reporting!Q160</x:f>
        <x:v>0</x:v>
      </x:c>
      <x:c r="L168" s="5" t="n">
        <x:f>Reporting!R160</x:f>
        <x:v>0</x:v>
      </x:c>
      <x:c r="M168" s="5" t="n">
        <x:f>Reporting!H160</x:f>
        <x:v>0</x:v>
      </x:c>
      <x:c r="N168" s="5" t="n">
        <x:f>Reporting!K160</x:f>
        <x:v>0</x:v>
      </x:c>
    </x:row>
    <x:row r="169">
      <x:c r="A169" s="5" t="n">
        <x:f>Reporting!O161</x:f>
        <x:v>0</x:v>
      </x:c>
      <x:c r="B169" s="5" t="n">
        <x:f>Reporting!P161</x:f>
        <x:v>0</x:v>
      </x:c>
      <x:c r="C169" s="5" t="n">
        <x:f>Reporting!A161</x:f>
        <x:v>0</x:v>
      </x:c>
      <x:c r="D169" s="5" t="n">
        <x:f>Reporting!L161</x:f>
        <x:v>0</x:v>
      </x:c>
      <x:c r="E169" s="5" t="n">
        <x:f>Reporting!D161</x:f>
        <x:v>0</x:v>
      </x:c>
      <x:c r="F169" s="5" t="n">
        <x:f>Reporting!E161</x:f>
        <x:v>0</x:v>
      </x:c>
      <x:c r="G169" s="5" t="n">
        <x:f>Reporting!F161</x:f>
        <x:v>0</x:v>
      </x:c>
      <x:c r="H169" s="5" t="n">
        <x:f>Reporting!G161</x:f>
        <x:v>0</x:v>
      </x:c>
      <x:c r="I169" s="5" t="n">
        <x:f>Reporting!C161</x:f>
        <x:v>0</x:v>
      </x:c>
      <x:c r="J169" s="5" t="n">
        <x:f>Reporting!I161</x:f>
        <x:v>0</x:v>
      </x:c>
      <x:c r="K169" s="5" t="n">
        <x:f>Reporting!Q161</x:f>
        <x:v>0</x:v>
      </x:c>
      <x:c r="L169" s="5" t="n">
        <x:f>Reporting!R161</x:f>
        <x:v>0</x:v>
      </x:c>
      <x:c r="M169" s="5" t="n">
        <x:f>Reporting!H161</x:f>
        <x:v>0</x:v>
      </x:c>
      <x:c r="N169" s="5" t="n">
        <x:f>Reporting!K161</x:f>
        <x:v>0</x:v>
      </x:c>
    </x:row>
    <x:row r="170">
      <x:c r="A170" s="5" t="n">
        <x:f>Reporting!O162</x:f>
        <x:v>0</x:v>
      </x:c>
      <x:c r="B170" s="5" t="n">
        <x:f>Reporting!P162</x:f>
        <x:v>0</x:v>
      </x:c>
      <x:c r="C170" s="5" t="n">
        <x:f>Reporting!A162</x:f>
        <x:v>0</x:v>
      </x:c>
      <x:c r="D170" s="5" t="n">
        <x:f>Reporting!L162</x:f>
        <x:v>0</x:v>
      </x:c>
      <x:c r="E170" s="5" t="n">
        <x:f>Reporting!D162</x:f>
        <x:v>0</x:v>
      </x:c>
      <x:c r="F170" s="5" t="n">
        <x:f>Reporting!E162</x:f>
        <x:v>0</x:v>
      </x:c>
      <x:c r="G170" s="5" t="n">
        <x:f>Reporting!F162</x:f>
        <x:v>0</x:v>
      </x:c>
      <x:c r="H170" s="5" t="n">
        <x:f>Reporting!G162</x:f>
        <x:v>0</x:v>
      </x:c>
      <x:c r="I170" s="5" t="n">
        <x:f>Reporting!C162</x:f>
        <x:v>0</x:v>
      </x:c>
      <x:c r="J170" s="5" t="n">
        <x:f>Reporting!I162</x:f>
        <x:v>0</x:v>
      </x:c>
      <x:c r="K170" s="5" t="n">
        <x:f>Reporting!Q162</x:f>
        <x:v>0</x:v>
      </x:c>
      <x:c r="L170" s="5" t="n">
        <x:f>Reporting!R162</x:f>
        <x:v>0</x:v>
      </x:c>
      <x:c r="M170" s="5" t="n">
        <x:f>Reporting!H162</x:f>
        <x:v>0</x:v>
      </x:c>
      <x:c r="N170" s="5" t="n">
        <x:f>Reporting!K162</x:f>
        <x:v>0</x:v>
      </x:c>
    </x:row>
    <x:row r="171">
      <x:c r="A171" s="5" t="n">
        <x:f>Reporting!O163</x:f>
        <x:v>0</x:v>
      </x:c>
      <x:c r="B171" s="5" t="n">
        <x:f>Reporting!P163</x:f>
        <x:v>0</x:v>
      </x:c>
      <x:c r="C171" s="5" t="n">
        <x:f>Reporting!A163</x:f>
        <x:v>0</x:v>
      </x:c>
      <x:c r="D171" s="5" t="n">
        <x:f>Reporting!L163</x:f>
        <x:v>0</x:v>
      </x:c>
      <x:c r="E171" s="5" t="n">
        <x:f>Reporting!D163</x:f>
        <x:v>0</x:v>
      </x:c>
      <x:c r="F171" s="5" t="n">
        <x:f>Reporting!E163</x:f>
        <x:v>0</x:v>
      </x:c>
      <x:c r="G171" s="5" t="n">
        <x:f>Reporting!F163</x:f>
        <x:v>0</x:v>
      </x:c>
      <x:c r="H171" s="5" t="n">
        <x:f>Reporting!G163</x:f>
        <x:v>0</x:v>
      </x:c>
      <x:c r="I171" s="5" t="n">
        <x:f>Reporting!C163</x:f>
        <x:v>0</x:v>
      </x:c>
      <x:c r="J171" s="5" t="n">
        <x:f>Reporting!I163</x:f>
        <x:v>0</x:v>
      </x:c>
      <x:c r="K171" s="5" t="n">
        <x:f>Reporting!Q163</x:f>
        <x:v>0</x:v>
      </x:c>
      <x:c r="L171" s="5" t="n">
        <x:f>Reporting!R163</x:f>
        <x:v>0</x:v>
      </x:c>
      <x:c r="M171" s="5" t="n">
        <x:f>Reporting!H163</x:f>
        <x:v>0</x:v>
      </x:c>
      <x:c r="N171" s="5" t="n">
        <x:f>Reporting!K163</x:f>
        <x:v>0</x:v>
      </x:c>
    </x:row>
    <x:row r="172">
      <x:c r="A172" s="5" t="n">
        <x:f>Reporting!O164</x:f>
        <x:v>0</x:v>
      </x:c>
      <x:c r="B172" s="5" t="n">
        <x:f>Reporting!P164</x:f>
        <x:v>0</x:v>
      </x:c>
      <x:c r="C172" s="5" t="n">
        <x:f>Reporting!A164</x:f>
        <x:v>0</x:v>
      </x:c>
      <x:c r="D172" s="5" t="n">
        <x:f>Reporting!L164</x:f>
        <x:v>0</x:v>
      </x:c>
      <x:c r="E172" s="5" t="n">
        <x:f>Reporting!D164</x:f>
        <x:v>0</x:v>
      </x:c>
      <x:c r="F172" s="5" t="n">
        <x:f>Reporting!E164</x:f>
        <x:v>0</x:v>
      </x:c>
      <x:c r="G172" s="5" t="n">
        <x:f>Reporting!F164</x:f>
        <x:v>0</x:v>
      </x:c>
      <x:c r="H172" s="5" t="n">
        <x:f>Reporting!G164</x:f>
        <x:v>0</x:v>
      </x:c>
      <x:c r="I172" s="5" t="n">
        <x:f>Reporting!C164</x:f>
        <x:v>0</x:v>
      </x:c>
      <x:c r="J172" s="5" t="n">
        <x:f>Reporting!I164</x:f>
        <x:v>0</x:v>
      </x:c>
      <x:c r="K172" s="5" t="n">
        <x:f>Reporting!Q164</x:f>
        <x:v>0</x:v>
      </x:c>
      <x:c r="L172" s="5" t="n">
        <x:f>Reporting!R164</x:f>
        <x:v>0</x:v>
      </x:c>
      <x:c r="M172" s="5" t="n">
        <x:f>Reporting!H164</x:f>
        <x:v>0</x:v>
      </x:c>
      <x:c r="N172" s="5" t="n">
        <x:f>Reporting!K164</x:f>
        <x:v>0</x:v>
      </x:c>
    </x:row>
    <x:row r="173">
      <x:c r="A173" s="5" t="n">
        <x:f>Reporting!O165</x:f>
        <x:v>0</x:v>
      </x:c>
      <x:c r="B173" s="5" t="n">
        <x:f>Reporting!P165</x:f>
        <x:v>0</x:v>
      </x:c>
      <x:c r="C173" s="5" t="n">
        <x:f>Reporting!A165</x:f>
        <x:v>0</x:v>
      </x:c>
      <x:c r="D173" s="5" t="n">
        <x:f>Reporting!L165</x:f>
        <x:v>0</x:v>
      </x:c>
      <x:c r="E173" s="5" t="n">
        <x:f>Reporting!D165</x:f>
        <x:v>0</x:v>
      </x:c>
      <x:c r="F173" s="5" t="n">
        <x:f>Reporting!E165</x:f>
        <x:v>0</x:v>
      </x:c>
      <x:c r="G173" s="5" t="n">
        <x:f>Reporting!F165</x:f>
        <x:v>0</x:v>
      </x:c>
      <x:c r="H173" s="5" t="n">
        <x:f>Reporting!G165</x:f>
        <x:v>0</x:v>
      </x:c>
      <x:c r="I173" s="5" t="n">
        <x:f>Reporting!C165</x:f>
        <x:v>0</x:v>
      </x:c>
      <x:c r="J173" s="5" t="n">
        <x:f>Reporting!I165</x:f>
        <x:v>0</x:v>
      </x:c>
      <x:c r="K173" s="5" t="n">
        <x:f>Reporting!Q165</x:f>
        <x:v>0</x:v>
      </x:c>
      <x:c r="L173" s="5" t="n">
        <x:f>Reporting!R165</x:f>
        <x:v>0</x:v>
      </x:c>
      <x:c r="M173" s="5" t="n">
        <x:f>Reporting!H165</x:f>
        <x:v>0</x:v>
      </x:c>
      <x:c r="N173" s="5" t="n">
        <x:f>Reporting!K165</x:f>
        <x:v>0</x:v>
      </x:c>
    </x:row>
    <x:row r="174">
      <x:c r="A174" s="5" t="n">
        <x:f>Reporting!O166</x:f>
        <x:v>0</x:v>
      </x:c>
      <x:c r="B174" s="5" t="n">
        <x:f>Reporting!P166</x:f>
        <x:v>0</x:v>
      </x:c>
      <x:c r="C174" s="5" t="n">
        <x:f>Reporting!A166</x:f>
        <x:v>0</x:v>
      </x:c>
      <x:c r="D174" s="5" t="n">
        <x:f>Reporting!L166</x:f>
        <x:v>0</x:v>
      </x:c>
      <x:c r="E174" s="5" t="n">
        <x:f>Reporting!D166</x:f>
        <x:v>0</x:v>
      </x:c>
      <x:c r="F174" s="5" t="n">
        <x:f>Reporting!E166</x:f>
        <x:v>0</x:v>
      </x:c>
      <x:c r="G174" s="5" t="n">
        <x:f>Reporting!F166</x:f>
        <x:v>0</x:v>
      </x:c>
      <x:c r="H174" s="5" t="n">
        <x:f>Reporting!G166</x:f>
        <x:v>0</x:v>
      </x:c>
      <x:c r="I174" s="5" t="n">
        <x:f>Reporting!C166</x:f>
        <x:v>0</x:v>
      </x:c>
      <x:c r="J174" s="5" t="n">
        <x:f>Reporting!I166</x:f>
        <x:v>0</x:v>
      </x:c>
      <x:c r="K174" s="5" t="n">
        <x:f>Reporting!Q166</x:f>
        <x:v>0</x:v>
      </x:c>
      <x:c r="L174" s="5" t="n">
        <x:f>Reporting!R166</x:f>
        <x:v>0</x:v>
      </x:c>
      <x:c r="M174" s="5" t="n">
        <x:f>Reporting!H166</x:f>
        <x:v>0</x:v>
      </x:c>
      <x:c r="N174" s="5" t="n">
        <x:f>Reporting!K166</x:f>
        <x:v>0</x:v>
      </x:c>
    </x:row>
    <x:row r="175">
      <x:c r="A175" s="5" t="n">
        <x:f>Reporting!O167</x:f>
        <x:v>0</x:v>
      </x:c>
      <x:c r="B175" s="5" t="n">
        <x:f>Reporting!P167</x:f>
        <x:v>0</x:v>
      </x:c>
      <x:c r="C175" s="5" t="n">
        <x:f>Reporting!A167</x:f>
        <x:v>0</x:v>
      </x:c>
      <x:c r="D175" s="5" t="n">
        <x:f>Reporting!L167</x:f>
        <x:v>0</x:v>
      </x:c>
      <x:c r="E175" s="5" t="n">
        <x:f>Reporting!D167</x:f>
        <x:v>0</x:v>
      </x:c>
      <x:c r="F175" s="5" t="n">
        <x:f>Reporting!E167</x:f>
        <x:v>0</x:v>
      </x:c>
      <x:c r="G175" s="5" t="n">
        <x:f>Reporting!F167</x:f>
        <x:v>0</x:v>
      </x:c>
      <x:c r="H175" s="5" t="n">
        <x:f>Reporting!G167</x:f>
        <x:v>0</x:v>
      </x:c>
      <x:c r="I175" s="5" t="n">
        <x:f>Reporting!C167</x:f>
        <x:v>0</x:v>
      </x:c>
      <x:c r="J175" s="5" t="n">
        <x:f>Reporting!I167</x:f>
        <x:v>0</x:v>
      </x:c>
      <x:c r="K175" s="5" t="n">
        <x:f>Reporting!Q167</x:f>
        <x:v>0</x:v>
      </x:c>
      <x:c r="L175" s="5" t="n">
        <x:f>Reporting!R167</x:f>
        <x:v>0</x:v>
      </x:c>
      <x:c r="M175" s="5" t="n">
        <x:f>Reporting!H167</x:f>
        <x:v>0</x:v>
      </x:c>
      <x:c r="N175" s="5" t="n">
        <x:f>Reporting!K167</x:f>
        <x:v>0</x:v>
      </x:c>
    </x:row>
    <x:row r="176">
      <x:c r="A176" s="5" t="n">
        <x:f>Reporting!O168</x:f>
        <x:v>0</x:v>
      </x:c>
      <x:c r="B176" s="5" t="n">
        <x:f>Reporting!P168</x:f>
        <x:v>0</x:v>
      </x:c>
      <x:c r="C176" s="5" t="n">
        <x:f>Reporting!A168</x:f>
        <x:v>0</x:v>
      </x:c>
      <x:c r="D176" s="5" t="n">
        <x:f>Reporting!L168</x:f>
        <x:v>0</x:v>
      </x:c>
      <x:c r="E176" s="5" t="n">
        <x:f>Reporting!D168</x:f>
        <x:v>0</x:v>
      </x:c>
      <x:c r="F176" s="5" t="n">
        <x:f>Reporting!E168</x:f>
        <x:v>0</x:v>
      </x:c>
      <x:c r="G176" s="5" t="n">
        <x:f>Reporting!F168</x:f>
        <x:v>0</x:v>
      </x:c>
      <x:c r="H176" s="5" t="n">
        <x:f>Reporting!G168</x:f>
        <x:v>0</x:v>
      </x:c>
      <x:c r="I176" s="5" t="n">
        <x:f>Reporting!C168</x:f>
        <x:v>0</x:v>
      </x:c>
      <x:c r="J176" s="5" t="n">
        <x:f>Reporting!I168</x:f>
        <x:v>0</x:v>
      </x:c>
      <x:c r="K176" s="5" t="n">
        <x:f>Reporting!Q168</x:f>
        <x:v>0</x:v>
      </x:c>
      <x:c r="L176" s="5" t="n">
        <x:f>Reporting!R168</x:f>
        <x:v>0</x:v>
      </x:c>
      <x:c r="M176" s="5" t="n">
        <x:f>Reporting!H168</x:f>
        <x:v>0</x:v>
      </x:c>
      <x:c r="N176" s="5" t="n">
        <x:f>Reporting!K168</x:f>
        <x:v>0</x:v>
      </x:c>
    </x:row>
    <x:row r="177">
      <x:c r="A177" s="5" t="n">
        <x:f>Reporting!O169</x:f>
        <x:v>0</x:v>
      </x:c>
      <x:c r="B177" s="5" t="n">
        <x:f>Reporting!P169</x:f>
        <x:v>0</x:v>
      </x:c>
      <x:c r="C177" s="5" t="n">
        <x:f>Reporting!A169</x:f>
        <x:v>0</x:v>
      </x:c>
      <x:c r="D177" s="5" t="n">
        <x:f>Reporting!L169</x:f>
        <x:v>0</x:v>
      </x:c>
      <x:c r="E177" s="5" t="n">
        <x:f>Reporting!D169</x:f>
        <x:v>0</x:v>
      </x:c>
      <x:c r="F177" s="5" t="n">
        <x:f>Reporting!E169</x:f>
        <x:v>0</x:v>
      </x:c>
      <x:c r="G177" s="5" t="n">
        <x:f>Reporting!F169</x:f>
        <x:v>0</x:v>
      </x:c>
      <x:c r="H177" s="5" t="n">
        <x:f>Reporting!G169</x:f>
        <x:v>0</x:v>
      </x:c>
      <x:c r="I177" s="5" t="n">
        <x:f>Reporting!C169</x:f>
        <x:v>0</x:v>
      </x:c>
      <x:c r="J177" s="5" t="n">
        <x:f>Reporting!I169</x:f>
        <x:v>0</x:v>
      </x:c>
      <x:c r="K177" s="5" t="n">
        <x:f>Reporting!Q169</x:f>
        <x:v>0</x:v>
      </x:c>
      <x:c r="L177" s="5" t="n">
        <x:f>Reporting!R169</x:f>
        <x:v>0</x:v>
      </x:c>
      <x:c r="M177" s="5" t="n">
        <x:f>Reporting!H169</x:f>
        <x:v>0</x:v>
      </x:c>
      <x:c r="N177" s="5" t="n">
        <x:f>Reporting!K169</x:f>
        <x:v>0</x:v>
      </x:c>
    </x:row>
    <x:row r="178">
      <x:c r="A178" s="5" t="n">
        <x:f>Reporting!O170</x:f>
        <x:v>0</x:v>
      </x:c>
      <x:c r="B178" s="5" t="n">
        <x:f>Reporting!P170</x:f>
        <x:v>0</x:v>
      </x:c>
      <x:c r="C178" s="5" t="n">
        <x:f>Reporting!A170</x:f>
        <x:v>0</x:v>
      </x:c>
      <x:c r="D178" s="5" t="n">
        <x:f>Reporting!L170</x:f>
        <x:v>0</x:v>
      </x:c>
      <x:c r="E178" s="5" t="n">
        <x:f>Reporting!D170</x:f>
        <x:v>0</x:v>
      </x:c>
      <x:c r="F178" s="5" t="n">
        <x:f>Reporting!E170</x:f>
        <x:v>0</x:v>
      </x:c>
      <x:c r="G178" s="5" t="n">
        <x:f>Reporting!F170</x:f>
        <x:v>0</x:v>
      </x:c>
      <x:c r="H178" s="5" t="n">
        <x:f>Reporting!G170</x:f>
        <x:v>0</x:v>
      </x:c>
      <x:c r="I178" s="5" t="n">
        <x:f>Reporting!C170</x:f>
        <x:v>0</x:v>
      </x:c>
      <x:c r="J178" s="5" t="n">
        <x:f>Reporting!I170</x:f>
        <x:v>0</x:v>
      </x:c>
      <x:c r="K178" s="5" t="n">
        <x:f>Reporting!Q170</x:f>
        <x:v>0</x:v>
      </x:c>
      <x:c r="L178" s="5" t="n">
        <x:f>Reporting!R170</x:f>
        <x:v>0</x:v>
      </x:c>
      <x:c r="M178" s="5" t="n">
        <x:f>Reporting!H170</x:f>
        <x:v>0</x:v>
      </x:c>
      <x:c r="N178" s="5" t="n">
        <x:f>Reporting!K170</x:f>
        <x:v>0</x:v>
      </x:c>
    </x:row>
    <x:row r="179">
      <x:c r="A179" s="5" t="n">
        <x:f>Reporting!O171</x:f>
        <x:v>0</x:v>
      </x:c>
      <x:c r="B179" s="5" t="n">
        <x:f>Reporting!P171</x:f>
        <x:v>0</x:v>
      </x:c>
      <x:c r="C179" s="5" t="n">
        <x:f>Reporting!A171</x:f>
        <x:v>0</x:v>
      </x:c>
      <x:c r="D179" s="5" t="n">
        <x:f>Reporting!L171</x:f>
        <x:v>0</x:v>
      </x:c>
      <x:c r="E179" s="5" t="n">
        <x:f>Reporting!D171</x:f>
        <x:v>0</x:v>
      </x:c>
      <x:c r="F179" s="5" t="n">
        <x:f>Reporting!E171</x:f>
        <x:v>0</x:v>
      </x:c>
      <x:c r="G179" s="5" t="n">
        <x:f>Reporting!F171</x:f>
        <x:v>0</x:v>
      </x:c>
      <x:c r="H179" s="5" t="n">
        <x:f>Reporting!G171</x:f>
        <x:v>0</x:v>
      </x:c>
      <x:c r="I179" s="5" t="n">
        <x:f>Reporting!C171</x:f>
        <x:v>0</x:v>
      </x:c>
      <x:c r="J179" s="5" t="n">
        <x:f>Reporting!I171</x:f>
        <x:v>0</x:v>
      </x:c>
      <x:c r="K179" s="5" t="n">
        <x:f>Reporting!Q171</x:f>
        <x:v>0</x:v>
      </x:c>
      <x:c r="L179" s="5" t="n">
        <x:f>Reporting!R171</x:f>
        <x:v>0</x:v>
      </x:c>
      <x:c r="M179" s="5" t="n">
        <x:f>Reporting!H171</x:f>
        <x:v>0</x:v>
      </x:c>
      <x:c r="N179" s="5" t="n">
        <x:f>Reporting!K171</x:f>
        <x:v>0</x:v>
      </x:c>
    </x:row>
    <x:row r="180">
      <x:c r="A180" s="5" t="n">
        <x:f>Reporting!O172</x:f>
        <x:v>0</x:v>
      </x:c>
      <x:c r="B180" s="5" t="n">
        <x:f>Reporting!P172</x:f>
        <x:v>0</x:v>
      </x:c>
      <x:c r="C180" s="5" t="n">
        <x:f>Reporting!A172</x:f>
        <x:v>0</x:v>
      </x:c>
      <x:c r="D180" s="5" t="n">
        <x:f>Reporting!L172</x:f>
        <x:v>0</x:v>
      </x:c>
      <x:c r="E180" s="5" t="n">
        <x:f>Reporting!D172</x:f>
        <x:v>0</x:v>
      </x:c>
      <x:c r="F180" s="5" t="n">
        <x:f>Reporting!E172</x:f>
        <x:v>0</x:v>
      </x:c>
      <x:c r="G180" s="5" t="n">
        <x:f>Reporting!F172</x:f>
        <x:v>0</x:v>
      </x:c>
      <x:c r="H180" s="5" t="n">
        <x:f>Reporting!G172</x:f>
        <x:v>0</x:v>
      </x:c>
      <x:c r="I180" s="5" t="n">
        <x:f>Reporting!C172</x:f>
        <x:v>0</x:v>
      </x:c>
      <x:c r="J180" s="5" t="n">
        <x:f>Reporting!I172</x:f>
        <x:v>0</x:v>
      </x:c>
      <x:c r="K180" s="5" t="n">
        <x:f>Reporting!Q172</x:f>
        <x:v>0</x:v>
      </x:c>
      <x:c r="L180" s="5" t="n">
        <x:f>Reporting!R172</x:f>
        <x:v>0</x:v>
      </x:c>
      <x:c r="M180" s="5" t="n">
        <x:f>Reporting!H172</x:f>
        <x:v>0</x:v>
      </x:c>
      <x:c r="N180" s="5" t="n">
        <x:f>Reporting!K172</x:f>
        <x:v>0</x:v>
      </x:c>
    </x:row>
    <x:row r="181">
      <x:c r="A181" s="5" t="n">
        <x:f>Reporting!O173</x:f>
        <x:v>0</x:v>
      </x:c>
      <x:c r="B181" s="5" t="n">
        <x:f>Reporting!P173</x:f>
        <x:v>0</x:v>
      </x:c>
      <x:c r="C181" s="5" t="n">
        <x:f>Reporting!A173</x:f>
        <x:v>0</x:v>
      </x:c>
      <x:c r="D181" s="5" t="n">
        <x:f>Reporting!L173</x:f>
        <x:v>0</x:v>
      </x:c>
      <x:c r="E181" s="5" t="n">
        <x:f>Reporting!D173</x:f>
        <x:v>0</x:v>
      </x:c>
      <x:c r="F181" s="5" t="n">
        <x:f>Reporting!E173</x:f>
        <x:v>0</x:v>
      </x:c>
      <x:c r="G181" s="5" t="n">
        <x:f>Reporting!F173</x:f>
        <x:v>0</x:v>
      </x:c>
      <x:c r="H181" s="5" t="n">
        <x:f>Reporting!G173</x:f>
        <x:v>0</x:v>
      </x:c>
      <x:c r="I181" s="5" t="n">
        <x:f>Reporting!C173</x:f>
        <x:v>0</x:v>
      </x:c>
      <x:c r="J181" s="5" t="n">
        <x:f>Reporting!I173</x:f>
        <x:v>0</x:v>
      </x:c>
      <x:c r="K181" s="5" t="n">
        <x:f>Reporting!Q173</x:f>
        <x:v>0</x:v>
      </x:c>
      <x:c r="L181" s="5" t="n">
        <x:f>Reporting!R173</x:f>
        <x:v>0</x:v>
      </x:c>
      <x:c r="M181" s="5" t="n">
        <x:f>Reporting!H173</x:f>
        <x:v>0</x:v>
      </x:c>
      <x:c r="N181" s="5" t="n">
        <x:f>Reporting!K173</x:f>
        <x:v>0</x:v>
      </x:c>
    </x:row>
    <x:row r="182">
      <x:c r="A182" s="5" t="n">
        <x:f>Reporting!O174</x:f>
        <x:v>0</x:v>
      </x:c>
      <x:c r="B182" s="5" t="n">
        <x:f>Reporting!P174</x:f>
        <x:v>0</x:v>
      </x:c>
      <x:c r="C182" s="5" t="n">
        <x:f>Reporting!A174</x:f>
        <x:v>0</x:v>
      </x:c>
      <x:c r="D182" s="5" t="n">
        <x:f>Reporting!L174</x:f>
        <x:v>0</x:v>
      </x:c>
      <x:c r="E182" s="5" t="n">
        <x:f>Reporting!D174</x:f>
        <x:v>0</x:v>
      </x:c>
      <x:c r="F182" s="5" t="n">
        <x:f>Reporting!E174</x:f>
        <x:v>0</x:v>
      </x:c>
      <x:c r="G182" s="5" t="n">
        <x:f>Reporting!F174</x:f>
        <x:v>0</x:v>
      </x:c>
      <x:c r="H182" s="5" t="n">
        <x:f>Reporting!G174</x:f>
        <x:v>0</x:v>
      </x:c>
      <x:c r="I182" s="5" t="n">
        <x:f>Reporting!C174</x:f>
        <x:v>0</x:v>
      </x:c>
      <x:c r="J182" s="5" t="n">
        <x:f>Reporting!I174</x:f>
        <x:v>0</x:v>
      </x:c>
      <x:c r="K182" s="5" t="n">
        <x:f>Reporting!Q174</x:f>
        <x:v>0</x:v>
      </x:c>
      <x:c r="L182" s="5" t="n">
        <x:f>Reporting!R174</x:f>
        <x:v>0</x:v>
      </x:c>
      <x:c r="M182" s="5" t="n">
        <x:f>Reporting!H174</x:f>
        <x:v>0</x:v>
      </x:c>
      <x:c r="N182" s="5" t="n">
        <x:f>Reporting!K174</x:f>
        <x:v>0</x:v>
      </x:c>
    </x:row>
    <x:row r="183">
      <x:c r="A183" s="5" t="n">
        <x:f>Reporting!O175</x:f>
        <x:v>0</x:v>
      </x:c>
      <x:c r="B183" s="5" t="n">
        <x:f>Reporting!P175</x:f>
        <x:v>0</x:v>
      </x:c>
      <x:c r="C183" s="5" t="n">
        <x:f>Reporting!A175</x:f>
        <x:v>0</x:v>
      </x:c>
      <x:c r="D183" s="5" t="n">
        <x:f>Reporting!L175</x:f>
        <x:v>0</x:v>
      </x:c>
      <x:c r="E183" s="5" t="n">
        <x:f>Reporting!D175</x:f>
        <x:v>0</x:v>
      </x:c>
      <x:c r="F183" s="5" t="n">
        <x:f>Reporting!E175</x:f>
        <x:v>0</x:v>
      </x:c>
      <x:c r="G183" s="5" t="n">
        <x:f>Reporting!F175</x:f>
        <x:v>0</x:v>
      </x:c>
      <x:c r="H183" s="5" t="n">
        <x:f>Reporting!G175</x:f>
        <x:v>0</x:v>
      </x:c>
      <x:c r="I183" s="5" t="n">
        <x:f>Reporting!C175</x:f>
        <x:v>0</x:v>
      </x:c>
      <x:c r="J183" s="5" t="n">
        <x:f>Reporting!I175</x:f>
        <x:v>0</x:v>
      </x:c>
      <x:c r="K183" s="5" t="n">
        <x:f>Reporting!Q175</x:f>
        <x:v>0</x:v>
      </x:c>
      <x:c r="L183" s="5" t="n">
        <x:f>Reporting!R175</x:f>
        <x:v>0</x:v>
      </x:c>
      <x:c r="M183" s="5" t="n">
        <x:f>Reporting!H175</x:f>
        <x:v>0</x:v>
      </x:c>
      <x:c r="N183" s="5" t="n">
        <x:f>Reporting!K175</x:f>
        <x:v>0</x:v>
      </x:c>
    </x:row>
    <x:row r="184">
      <x:c r="A184" s="5" t="n">
        <x:f>Reporting!O176</x:f>
        <x:v>0</x:v>
      </x:c>
      <x:c r="B184" s="5" t="n">
        <x:f>Reporting!P176</x:f>
        <x:v>0</x:v>
      </x:c>
      <x:c r="C184" s="5" t="n">
        <x:f>Reporting!A176</x:f>
        <x:v>0</x:v>
      </x:c>
      <x:c r="D184" s="5" t="n">
        <x:f>Reporting!L176</x:f>
        <x:v>0</x:v>
      </x:c>
      <x:c r="E184" s="5" t="n">
        <x:f>Reporting!D176</x:f>
        <x:v>0</x:v>
      </x:c>
      <x:c r="F184" s="5" t="n">
        <x:f>Reporting!E176</x:f>
        <x:v>0</x:v>
      </x:c>
      <x:c r="G184" s="5" t="n">
        <x:f>Reporting!F176</x:f>
        <x:v>0</x:v>
      </x:c>
      <x:c r="H184" s="5" t="n">
        <x:f>Reporting!G176</x:f>
        <x:v>0</x:v>
      </x:c>
      <x:c r="I184" s="5" t="n">
        <x:f>Reporting!C176</x:f>
        <x:v>0</x:v>
      </x:c>
      <x:c r="J184" s="5" t="n">
        <x:f>Reporting!I176</x:f>
        <x:v>0</x:v>
      </x:c>
      <x:c r="K184" s="5" t="n">
        <x:f>Reporting!Q176</x:f>
        <x:v>0</x:v>
      </x:c>
      <x:c r="L184" s="5" t="n">
        <x:f>Reporting!R176</x:f>
        <x:v>0</x:v>
      </x:c>
      <x:c r="M184" s="5" t="n">
        <x:f>Reporting!H176</x:f>
        <x:v>0</x:v>
      </x:c>
      <x:c r="N184" s="5" t="n">
        <x:f>Reporting!K176</x:f>
        <x:v>0</x:v>
      </x:c>
    </x:row>
    <x:row r="185">
      <x:c r="A185" s="5" t="n">
        <x:f>Reporting!O177</x:f>
        <x:v>0</x:v>
      </x:c>
      <x:c r="B185" s="5" t="n">
        <x:f>Reporting!P177</x:f>
        <x:v>0</x:v>
      </x:c>
      <x:c r="C185" s="5" t="n">
        <x:f>Reporting!A177</x:f>
        <x:v>0</x:v>
      </x:c>
      <x:c r="D185" s="5" t="n">
        <x:f>Reporting!L177</x:f>
        <x:v>0</x:v>
      </x:c>
      <x:c r="E185" s="5" t="n">
        <x:f>Reporting!D177</x:f>
        <x:v>0</x:v>
      </x:c>
      <x:c r="F185" s="5" t="n">
        <x:f>Reporting!E177</x:f>
        <x:v>0</x:v>
      </x:c>
      <x:c r="G185" s="5" t="n">
        <x:f>Reporting!F177</x:f>
        <x:v>0</x:v>
      </x:c>
      <x:c r="H185" s="5" t="n">
        <x:f>Reporting!G177</x:f>
        <x:v>0</x:v>
      </x:c>
      <x:c r="I185" s="5" t="n">
        <x:f>Reporting!C177</x:f>
        <x:v>0</x:v>
      </x:c>
      <x:c r="J185" s="5" t="n">
        <x:f>Reporting!I177</x:f>
        <x:v>0</x:v>
      </x:c>
      <x:c r="K185" s="5" t="n">
        <x:f>Reporting!Q177</x:f>
        <x:v>0</x:v>
      </x:c>
      <x:c r="L185" s="5" t="n">
        <x:f>Reporting!R177</x:f>
        <x:v>0</x:v>
      </x:c>
      <x:c r="M185" s="5" t="n">
        <x:f>Reporting!H177</x:f>
        <x:v>0</x:v>
      </x:c>
      <x:c r="N185" s="5" t="n">
        <x:f>Reporting!K177</x:f>
        <x:v>0</x:v>
      </x:c>
    </x:row>
    <x:row r="186">
      <x:c r="A186" s="5" t="n">
        <x:f>Reporting!O178</x:f>
        <x:v>0</x:v>
      </x:c>
      <x:c r="B186" s="5" t="n">
        <x:f>Reporting!P178</x:f>
        <x:v>0</x:v>
      </x:c>
      <x:c r="C186" s="5" t="n">
        <x:f>Reporting!A178</x:f>
        <x:v>0</x:v>
      </x:c>
      <x:c r="D186" s="5" t="n">
        <x:f>Reporting!L178</x:f>
        <x:v>0</x:v>
      </x:c>
      <x:c r="E186" s="5" t="n">
        <x:f>Reporting!D178</x:f>
        <x:v>0</x:v>
      </x:c>
      <x:c r="F186" s="5" t="n">
        <x:f>Reporting!E178</x:f>
        <x:v>0</x:v>
      </x:c>
      <x:c r="G186" s="5" t="n">
        <x:f>Reporting!F178</x:f>
        <x:v>0</x:v>
      </x:c>
      <x:c r="H186" s="5" t="n">
        <x:f>Reporting!G178</x:f>
        <x:v>0</x:v>
      </x:c>
      <x:c r="I186" s="5" t="n">
        <x:f>Reporting!C178</x:f>
        <x:v>0</x:v>
      </x:c>
      <x:c r="J186" s="5" t="n">
        <x:f>Reporting!I178</x:f>
        <x:v>0</x:v>
      </x:c>
      <x:c r="K186" s="5" t="n">
        <x:f>Reporting!Q178</x:f>
        <x:v>0</x:v>
      </x:c>
      <x:c r="L186" s="5" t="n">
        <x:f>Reporting!R178</x:f>
        <x:v>0</x:v>
      </x:c>
      <x:c r="M186" s="5" t="n">
        <x:f>Reporting!H178</x:f>
        <x:v>0</x:v>
      </x:c>
      <x:c r="N186" s="5" t="n">
        <x:f>Reporting!K178</x:f>
        <x:v>0</x:v>
      </x:c>
    </x:row>
    <x:row r="187">
      <x:c r="A187" s="5" t="n">
        <x:f>Reporting!O179</x:f>
        <x:v>0</x:v>
      </x:c>
      <x:c r="B187" s="5" t="n">
        <x:f>Reporting!P179</x:f>
        <x:v>0</x:v>
      </x:c>
      <x:c r="C187" s="5" t="n">
        <x:f>Reporting!A179</x:f>
        <x:v>0</x:v>
      </x:c>
      <x:c r="D187" s="5" t="n">
        <x:f>Reporting!L179</x:f>
        <x:v>0</x:v>
      </x:c>
      <x:c r="E187" s="5" t="n">
        <x:f>Reporting!D179</x:f>
        <x:v>0</x:v>
      </x:c>
      <x:c r="F187" s="5" t="n">
        <x:f>Reporting!E179</x:f>
        <x:v>0</x:v>
      </x:c>
      <x:c r="G187" s="5" t="n">
        <x:f>Reporting!F179</x:f>
        <x:v>0</x:v>
      </x:c>
      <x:c r="H187" s="5" t="n">
        <x:f>Reporting!G179</x:f>
        <x:v>0</x:v>
      </x:c>
      <x:c r="I187" s="5" t="n">
        <x:f>Reporting!C179</x:f>
        <x:v>0</x:v>
      </x:c>
      <x:c r="J187" s="5" t="n">
        <x:f>Reporting!I179</x:f>
        <x:v>0</x:v>
      </x:c>
      <x:c r="K187" s="5" t="n">
        <x:f>Reporting!Q179</x:f>
        <x:v>0</x:v>
      </x:c>
      <x:c r="L187" s="5" t="n">
        <x:f>Reporting!R179</x:f>
        <x:v>0</x:v>
      </x:c>
      <x:c r="M187" s="5" t="n">
        <x:f>Reporting!H179</x:f>
        <x:v>0</x:v>
      </x:c>
      <x:c r="N187" s="5" t="n">
        <x:f>Reporting!K179</x:f>
        <x:v>0</x:v>
      </x:c>
    </x:row>
    <x:row r="188">
      <x:c r="A188" s="5" t="n">
        <x:f>Reporting!O180</x:f>
        <x:v>0</x:v>
      </x:c>
      <x:c r="B188" s="5" t="n">
        <x:f>Reporting!P180</x:f>
        <x:v>0</x:v>
      </x:c>
      <x:c r="C188" s="5" t="n">
        <x:f>Reporting!A180</x:f>
        <x:v>0</x:v>
      </x:c>
      <x:c r="D188" s="5" t="n">
        <x:f>Reporting!L180</x:f>
        <x:v>0</x:v>
      </x:c>
      <x:c r="E188" s="5" t="n">
        <x:f>Reporting!D180</x:f>
        <x:v>0</x:v>
      </x:c>
      <x:c r="F188" s="5" t="n">
        <x:f>Reporting!E180</x:f>
        <x:v>0</x:v>
      </x:c>
      <x:c r="G188" s="5" t="n">
        <x:f>Reporting!F180</x:f>
        <x:v>0</x:v>
      </x:c>
      <x:c r="H188" s="5" t="n">
        <x:f>Reporting!G180</x:f>
        <x:v>0</x:v>
      </x:c>
      <x:c r="I188" s="5" t="n">
        <x:f>Reporting!C180</x:f>
        <x:v>0</x:v>
      </x:c>
      <x:c r="J188" s="5" t="n">
        <x:f>Reporting!I180</x:f>
        <x:v>0</x:v>
      </x:c>
      <x:c r="K188" s="5" t="n">
        <x:f>Reporting!Q180</x:f>
        <x:v>0</x:v>
      </x:c>
      <x:c r="L188" s="5" t="n">
        <x:f>Reporting!R180</x:f>
        <x:v>0</x:v>
      </x:c>
      <x:c r="M188" s="5" t="n">
        <x:f>Reporting!H180</x:f>
        <x:v>0</x:v>
      </x:c>
      <x:c r="N188" s="5" t="n">
        <x:f>Reporting!K180</x:f>
        <x:v>0</x:v>
      </x:c>
    </x:row>
    <x:row r="189">
      <x:c r="A189" s="5" t="n">
        <x:f>Reporting!O181</x:f>
        <x:v>0</x:v>
      </x:c>
      <x:c r="B189" s="5" t="n">
        <x:f>Reporting!P181</x:f>
        <x:v>0</x:v>
      </x:c>
      <x:c r="C189" s="5" t="n">
        <x:f>Reporting!A181</x:f>
        <x:v>0</x:v>
      </x:c>
      <x:c r="D189" s="5" t="n">
        <x:f>Reporting!L181</x:f>
        <x:v>0</x:v>
      </x:c>
      <x:c r="E189" s="5" t="n">
        <x:f>Reporting!D181</x:f>
        <x:v>0</x:v>
      </x:c>
      <x:c r="F189" s="5" t="n">
        <x:f>Reporting!E181</x:f>
        <x:v>0</x:v>
      </x:c>
      <x:c r="G189" s="5" t="n">
        <x:f>Reporting!F181</x:f>
        <x:v>0</x:v>
      </x:c>
      <x:c r="H189" s="5" t="n">
        <x:f>Reporting!G181</x:f>
        <x:v>0</x:v>
      </x:c>
      <x:c r="I189" s="5" t="n">
        <x:f>Reporting!C181</x:f>
        <x:v>0</x:v>
      </x:c>
      <x:c r="J189" s="5" t="n">
        <x:f>Reporting!I181</x:f>
        <x:v>0</x:v>
      </x:c>
      <x:c r="K189" s="5" t="n">
        <x:f>Reporting!Q181</x:f>
        <x:v>0</x:v>
      </x:c>
      <x:c r="L189" s="5" t="n">
        <x:f>Reporting!R181</x:f>
        <x:v>0</x:v>
      </x:c>
      <x:c r="M189" s="5" t="n">
        <x:f>Reporting!H181</x:f>
        <x:v>0</x:v>
      </x:c>
      <x:c r="N189" s="5" t="n">
        <x:f>Reporting!K181</x:f>
        <x:v>0</x:v>
      </x:c>
    </x:row>
    <x:row r="190">
      <x:c r="A190" s="5" t="n">
        <x:f>Reporting!O182</x:f>
        <x:v>0</x:v>
      </x:c>
      <x:c r="B190" s="5" t="n">
        <x:f>Reporting!P182</x:f>
        <x:v>0</x:v>
      </x:c>
      <x:c r="C190" s="5" t="n">
        <x:f>Reporting!A182</x:f>
        <x:v>0</x:v>
      </x:c>
      <x:c r="D190" s="5" t="n">
        <x:f>Reporting!L182</x:f>
        <x:v>0</x:v>
      </x:c>
      <x:c r="E190" s="5" t="n">
        <x:f>Reporting!D182</x:f>
        <x:v>0</x:v>
      </x:c>
      <x:c r="F190" s="5" t="n">
        <x:f>Reporting!E182</x:f>
        <x:v>0</x:v>
      </x:c>
      <x:c r="G190" s="5" t="n">
        <x:f>Reporting!F182</x:f>
        <x:v>0</x:v>
      </x:c>
      <x:c r="H190" s="5" t="n">
        <x:f>Reporting!G182</x:f>
        <x:v>0</x:v>
      </x:c>
      <x:c r="I190" s="5" t="n">
        <x:f>Reporting!C182</x:f>
        <x:v>0</x:v>
      </x:c>
      <x:c r="J190" s="5" t="n">
        <x:f>Reporting!I182</x:f>
        <x:v>0</x:v>
      </x:c>
      <x:c r="K190" s="5" t="n">
        <x:f>Reporting!Q182</x:f>
        <x:v>0</x:v>
      </x:c>
      <x:c r="L190" s="5" t="n">
        <x:f>Reporting!R182</x:f>
        <x:v>0</x:v>
      </x:c>
      <x:c r="M190" s="5" t="n">
        <x:f>Reporting!H182</x:f>
        <x:v>0</x:v>
      </x:c>
      <x:c r="N190" s="5" t="n">
        <x:f>Reporting!K182</x:f>
        <x:v>0</x:v>
      </x:c>
    </x:row>
    <x:row r="191">
      <x:c r="A191" s="5" t="n">
        <x:f>Reporting!O183</x:f>
        <x:v>0</x:v>
      </x:c>
      <x:c r="B191" s="5" t="n">
        <x:f>Reporting!P183</x:f>
        <x:v>0</x:v>
      </x:c>
      <x:c r="C191" s="5" t="n">
        <x:f>Reporting!A183</x:f>
        <x:v>0</x:v>
      </x:c>
      <x:c r="D191" s="5" t="n">
        <x:f>Reporting!L183</x:f>
        <x:v>0</x:v>
      </x:c>
      <x:c r="E191" s="5" t="n">
        <x:f>Reporting!D183</x:f>
        <x:v>0</x:v>
      </x:c>
      <x:c r="F191" s="5" t="n">
        <x:f>Reporting!E183</x:f>
        <x:v>0</x:v>
      </x:c>
      <x:c r="G191" s="5" t="n">
        <x:f>Reporting!F183</x:f>
        <x:v>0</x:v>
      </x:c>
      <x:c r="H191" s="5" t="n">
        <x:f>Reporting!G183</x:f>
        <x:v>0</x:v>
      </x:c>
      <x:c r="I191" s="5" t="n">
        <x:f>Reporting!C183</x:f>
        <x:v>0</x:v>
      </x:c>
      <x:c r="J191" s="5" t="n">
        <x:f>Reporting!I183</x:f>
        <x:v>0</x:v>
      </x:c>
      <x:c r="K191" s="5" t="n">
        <x:f>Reporting!Q183</x:f>
        <x:v>0</x:v>
      </x:c>
      <x:c r="L191" s="5" t="n">
        <x:f>Reporting!R183</x:f>
        <x:v>0</x:v>
      </x:c>
      <x:c r="M191" s="5" t="n">
        <x:f>Reporting!H183</x:f>
        <x:v>0</x:v>
      </x:c>
      <x:c r="N191" s="5" t="n">
        <x:f>Reporting!K183</x:f>
        <x:v>0</x:v>
      </x:c>
    </x:row>
    <x:row r="192">
      <x:c r="A192" s="5" t="n">
        <x:f>Reporting!O184</x:f>
        <x:v>0</x:v>
      </x:c>
      <x:c r="B192" s="5" t="n">
        <x:f>Reporting!P184</x:f>
        <x:v>0</x:v>
      </x:c>
      <x:c r="C192" s="5" t="n">
        <x:f>Reporting!A184</x:f>
        <x:v>0</x:v>
      </x:c>
      <x:c r="D192" s="5" t="n">
        <x:f>Reporting!L184</x:f>
        <x:v>0</x:v>
      </x:c>
      <x:c r="E192" s="5" t="n">
        <x:f>Reporting!D184</x:f>
        <x:v>0</x:v>
      </x:c>
      <x:c r="F192" s="5" t="n">
        <x:f>Reporting!E184</x:f>
        <x:v>0</x:v>
      </x:c>
      <x:c r="G192" s="5" t="n">
        <x:f>Reporting!F184</x:f>
        <x:v>0</x:v>
      </x:c>
      <x:c r="H192" s="5" t="n">
        <x:f>Reporting!G184</x:f>
        <x:v>0</x:v>
      </x:c>
      <x:c r="I192" s="5" t="n">
        <x:f>Reporting!C184</x:f>
        <x:v>0</x:v>
      </x:c>
      <x:c r="J192" s="5" t="n">
        <x:f>Reporting!I184</x:f>
        <x:v>0</x:v>
      </x:c>
      <x:c r="K192" s="5" t="n">
        <x:f>Reporting!Q184</x:f>
        <x:v>0</x:v>
      </x:c>
      <x:c r="L192" s="5" t="n">
        <x:f>Reporting!R184</x:f>
        <x:v>0</x:v>
      </x:c>
      <x:c r="M192" s="5" t="n">
        <x:f>Reporting!H184</x:f>
        <x:v>0</x:v>
      </x:c>
      <x:c r="N192" s="5" t="n">
        <x:f>Reporting!K184</x:f>
        <x:v>0</x:v>
      </x:c>
    </x:row>
    <x:row r="193">
      <x:c r="A193" s="5" t="n">
        <x:f>Reporting!O185</x:f>
        <x:v>0</x:v>
      </x:c>
      <x:c r="B193" s="5" t="n">
        <x:f>Reporting!P185</x:f>
        <x:v>0</x:v>
      </x:c>
      <x:c r="C193" s="5" t="n">
        <x:f>Reporting!A185</x:f>
        <x:v>0</x:v>
      </x:c>
      <x:c r="D193" s="5" t="n">
        <x:f>Reporting!L185</x:f>
        <x:v>0</x:v>
      </x:c>
      <x:c r="E193" s="5" t="n">
        <x:f>Reporting!D185</x:f>
        <x:v>0</x:v>
      </x:c>
      <x:c r="F193" s="5" t="n">
        <x:f>Reporting!E185</x:f>
        <x:v>0</x:v>
      </x:c>
      <x:c r="G193" s="5" t="n">
        <x:f>Reporting!F185</x:f>
        <x:v>0</x:v>
      </x:c>
      <x:c r="H193" s="5" t="n">
        <x:f>Reporting!G185</x:f>
        <x:v>0</x:v>
      </x:c>
      <x:c r="I193" s="5" t="n">
        <x:f>Reporting!C185</x:f>
        <x:v>0</x:v>
      </x:c>
      <x:c r="J193" s="5" t="n">
        <x:f>Reporting!I185</x:f>
        <x:v>0</x:v>
      </x:c>
      <x:c r="K193" s="5" t="n">
        <x:f>Reporting!Q185</x:f>
        <x:v>0</x:v>
      </x:c>
      <x:c r="L193" s="5" t="n">
        <x:f>Reporting!R185</x:f>
        <x:v>0</x:v>
      </x:c>
      <x:c r="M193" s="5" t="n">
        <x:f>Reporting!H185</x:f>
        <x:v>0</x:v>
      </x:c>
      <x:c r="N193" s="5" t="n">
        <x:f>Reporting!K185</x:f>
        <x:v>0</x:v>
      </x:c>
    </x:row>
    <x:row r="194">
      <x:c r="A194" s="5" t="n">
        <x:f>Reporting!O186</x:f>
        <x:v>0</x:v>
      </x:c>
      <x:c r="B194" s="5" t="n">
        <x:f>Reporting!P186</x:f>
        <x:v>0</x:v>
      </x:c>
      <x:c r="C194" s="5" t="n">
        <x:f>Reporting!A186</x:f>
        <x:v>0</x:v>
      </x:c>
      <x:c r="D194" s="5" t="n">
        <x:f>Reporting!L186</x:f>
        <x:v>0</x:v>
      </x:c>
      <x:c r="E194" s="5" t="n">
        <x:f>Reporting!D186</x:f>
        <x:v>0</x:v>
      </x:c>
      <x:c r="F194" s="5" t="n">
        <x:f>Reporting!E186</x:f>
        <x:v>0</x:v>
      </x:c>
      <x:c r="G194" s="5" t="n">
        <x:f>Reporting!F186</x:f>
        <x:v>0</x:v>
      </x:c>
      <x:c r="H194" s="5" t="n">
        <x:f>Reporting!G186</x:f>
        <x:v>0</x:v>
      </x:c>
      <x:c r="I194" s="5" t="n">
        <x:f>Reporting!C186</x:f>
        <x:v>0</x:v>
      </x:c>
      <x:c r="J194" s="5" t="n">
        <x:f>Reporting!I186</x:f>
        <x:v>0</x:v>
      </x:c>
      <x:c r="K194" s="5" t="n">
        <x:f>Reporting!Q186</x:f>
        <x:v>0</x:v>
      </x:c>
      <x:c r="L194" s="5" t="n">
        <x:f>Reporting!R186</x:f>
        <x:v>0</x:v>
      </x:c>
      <x:c r="M194" s="5" t="n">
        <x:f>Reporting!H186</x:f>
        <x:v>0</x:v>
      </x:c>
      <x:c r="N194" s="5" t="n">
        <x:f>Reporting!K186</x:f>
        <x:v>0</x:v>
      </x:c>
    </x:row>
    <x:row r="195">
      <x:c r="A195" s="5" t="n">
        <x:f>Reporting!O187</x:f>
        <x:v>0</x:v>
      </x:c>
      <x:c r="B195" s="5" t="n">
        <x:f>Reporting!P187</x:f>
        <x:v>0</x:v>
      </x:c>
      <x:c r="C195" s="5" t="n">
        <x:f>Reporting!A187</x:f>
        <x:v>0</x:v>
      </x:c>
      <x:c r="D195" s="5" t="n">
        <x:f>Reporting!L187</x:f>
        <x:v>0</x:v>
      </x:c>
      <x:c r="E195" s="5" t="n">
        <x:f>Reporting!D187</x:f>
        <x:v>0</x:v>
      </x:c>
      <x:c r="F195" s="5" t="n">
        <x:f>Reporting!E187</x:f>
        <x:v>0</x:v>
      </x:c>
      <x:c r="G195" s="5" t="n">
        <x:f>Reporting!F187</x:f>
        <x:v>0</x:v>
      </x:c>
      <x:c r="H195" s="5" t="n">
        <x:f>Reporting!G187</x:f>
        <x:v>0</x:v>
      </x:c>
      <x:c r="I195" s="5" t="n">
        <x:f>Reporting!C187</x:f>
        <x:v>0</x:v>
      </x:c>
      <x:c r="J195" s="5" t="n">
        <x:f>Reporting!I187</x:f>
        <x:v>0</x:v>
      </x:c>
      <x:c r="K195" s="5" t="n">
        <x:f>Reporting!Q187</x:f>
        <x:v>0</x:v>
      </x:c>
      <x:c r="L195" s="5" t="n">
        <x:f>Reporting!R187</x:f>
        <x:v>0</x:v>
      </x:c>
      <x:c r="M195" s="5" t="n">
        <x:f>Reporting!H187</x:f>
        <x:v>0</x:v>
      </x:c>
      <x:c r="N195" s="5" t="n">
        <x:f>Reporting!K187</x:f>
        <x:v>0</x:v>
      </x:c>
    </x:row>
    <x:row r="196">
      <x:c r="A196" s="5" t="n">
        <x:f>Reporting!O188</x:f>
        <x:v>0</x:v>
      </x:c>
      <x:c r="B196" s="5" t="n">
        <x:f>Reporting!P188</x:f>
        <x:v>0</x:v>
      </x:c>
      <x:c r="C196" s="5" t="n">
        <x:f>Reporting!A188</x:f>
        <x:v>0</x:v>
      </x:c>
      <x:c r="D196" s="5" t="n">
        <x:f>Reporting!L188</x:f>
        <x:v>0</x:v>
      </x:c>
      <x:c r="E196" s="5" t="n">
        <x:f>Reporting!D188</x:f>
        <x:v>0</x:v>
      </x:c>
      <x:c r="F196" s="5" t="n">
        <x:f>Reporting!E188</x:f>
        <x:v>0</x:v>
      </x:c>
      <x:c r="G196" s="5" t="n">
        <x:f>Reporting!F188</x:f>
        <x:v>0</x:v>
      </x:c>
      <x:c r="H196" s="5" t="n">
        <x:f>Reporting!G188</x:f>
        <x:v>0</x:v>
      </x:c>
      <x:c r="I196" s="5" t="n">
        <x:f>Reporting!C188</x:f>
        <x:v>0</x:v>
      </x:c>
      <x:c r="J196" s="5" t="n">
        <x:f>Reporting!I188</x:f>
        <x:v>0</x:v>
      </x:c>
      <x:c r="K196" s="5" t="n">
        <x:f>Reporting!Q188</x:f>
        <x:v>0</x:v>
      </x:c>
      <x:c r="L196" s="5" t="n">
        <x:f>Reporting!R188</x:f>
        <x:v>0</x:v>
      </x:c>
      <x:c r="M196" s="5" t="n">
        <x:f>Reporting!H188</x:f>
        <x:v>0</x:v>
      </x:c>
      <x:c r="N196" s="5" t="n">
        <x:f>Reporting!K188</x:f>
        <x:v>0</x:v>
      </x:c>
    </x:row>
    <x:row r="197">
      <x:c r="A197" s="5" t="n">
        <x:f>Reporting!O189</x:f>
        <x:v>0</x:v>
      </x:c>
      <x:c r="B197" s="5" t="n">
        <x:f>Reporting!P189</x:f>
        <x:v>0</x:v>
      </x:c>
      <x:c r="C197" s="5" t="n">
        <x:f>Reporting!A189</x:f>
        <x:v>0</x:v>
      </x:c>
      <x:c r="D197" s="5" t="n">
        <x:f>Reporting!L189</x:f>
        <x:v>0</x:v>
      </x:c>
      <x:c r="E197" s="5" t="n">
        <x:f>Reporting!D189</x:f>
        <x:v>0</x:v>
      </x:c>
      <x:c r="F197" s="5" t="n">
        <x:f>Reporting!E189</x:f>
        <x:v>0</x:v>
      </x:c>
      <x:c r="G197" s="5" t="n">
        <x:f>Reporting!F189</x:f>
        <x:v>0</x:v>
      </x:c>
      <x:c r="H197" s="5" t="n">
        <x:f>Reporting!G189</x:f>
        <x:v>0</x:v>
      </x:c>
      <x:c r="I197" s="5" t="n">
        <x:f>Reporting!C189</x:f>
        <x:v>0</x:v>
      </x:c>
      <x:c r="J197" s="5" t="n">
        <x:f>Reporting!I189</x:f>
        <x:v>0</x:v>
      </x:c>
      <x:c r="K197" s="5" t="n">
        <x:f>Reporting!Q189</x:f>
        <x:v>0</x:v>
      </x:c>
      <x:c r="L197" s="5" t="n">
        <x:f>Reporting!R189</x:f>
        <x:v>0</x:v>
      </x:c>
      <x:c r="M197" s="5" t="n">
        <x:f>Reporting!H189</x:f>
        <x:v>0</x:v>
      </x:c>
      <x:c r="N197" s="5" t="n">
        <x:f>Reporting!K189</x:f>
        <x:v>0</x:v>
      </x:c>
    </x:row>
    <x:row r="198">
      <x:c r="A198" s="5" t="n">
        <x:f>Reporting!O190</x:f>
        <x:v>0</x:v>
      </x:c>
      <x:c r="B198" s="5" t="n">
        <x:f>Reporting!P190</x:f>
        <x:v>0</x:v>
      </x:c>
      <x:c r="C198" s="5" t="n">
        <x:f>Reporting!A190</x:f>
        <x:v>0</x:v>
      </x:c>
      <x:c r="D198" s="5" t="n">
        <x:f>Reporting!L190</x:f>
        <x:v>0</x:v>
      </x:c>
      <x:c r="E198" s="5" t="n">
        <x:f>Reporting!D190</x:f>
        <x:v>0</x:v>
      </x:c>
      <x:c r="F198" s="5" t="n">
        <x:f>Reporting!E190</x:f>
        <x:v>0</x:v>
      </x:c>
      <x:c r="G198" s="5" t="n">
        <x:f>Reporting!F190</x:f>
        <x:v>0</x:v>
      </x:c>
      <x:c r="H198" s="5" t="n">
        <x:f>Reporting!G190</x:f>
        <x:v>0</x:v>
      </x:c>
      <x:c r="I198" s="5" t="n">
        <x:f>Reporting!C190</x:f>
        <x:v>0</x:v>
      </x:c>
      <x:c r="J198" s="5" t="n">
        <x:f>Reporting!I190</x:f>
        <x:v>0</x:v>
      </x:c>
      <x:c r="K198" s="5" t="n">
        <x:f>Reporting!Q190</x:f>
        <x:v>0</x:v>
      </x:c>
      <x:c r="L198" s="5" t="n">
        <x:f>Reporting!R190</x:f>
        <x:v>0</x:v>
      </x:c>
      <x:c r="M198" s="5" t="n">
        <x:f>Reporting!H190</x:f>
        <x:v>0</x:v>
      </x:c>
      <x:c r="N198" s="5" t="n">
        <x:f>Reporting!K190</x:f>
        <x:v>0</x:v>
      </x:c>
    </x:row>
    <x:row r="199">
      <x:c r="A199" s="5" t="n">
        <x:f>Reporting!O191</x:f>
        <x:v>0</x:v>
      </x:c>
      <x:c r="B199" s="5" t="n">
        <x:f>Reporting!P191</x:f>
        <x:v>0</x:v>
      </x:c>
      <x:c r="C199" s="5" t="n">
        <x:f>Reporting!A191</x:f>
        <x:v>0</x:v>
      </x:c>
      <x:c r="D199" s="5" t="n">
        <x:f>Reporting!L191</x:f>
        <x:v>0</x:v>
      </x:c>
      <x:c r="E199" s="5" t="n">
        <x:f>Reporting!D191</x:f>
        <x:v>0</x:v>
      </x:c>
      <x:c r="F199" s="5" t="n">
        <x:f>Reporting!E191</x:f>
        <x:v>0</x:v>
      </x:c>
      <x:c r="G199" s="5" t="n">
        <x:f>Reporting!F191</x:f>
        <x:v>0</x:v>
      </x:c>
      <x:c r="H199" s="5" t="n">
        <x:f>Reporting!G191</x:f>
        <x:v>0</x:v>
      </x:c>
      <x:c r="I199" s="5" t="n">
        <x:f>Reporting!C191</x:f>
        <x:v>0</x:v>
      </x:c>
      <x:c r="J199" s="5" t="n">
        <x:f>Reporting!I191</x:f>
        <x:v>0</x:v>
      </x:c>
      <x:c r="K199" s="5" t="n">
        <x:f>Reporting!Q191</x:f>
        <x:v>0</x:v>
      </x:c>
      <x:c r="L199" s="5" t="n">
        <x:f>Reporting!R191</x:f>
        <x:v>0</x:v>
      </x:c>
      <x:c r="M199" s="5" t="n">
        <x:f>Reporting!H191</x:f>
        <x:v>0</x:v>
      </x:c>
      <x:c r="N199" s="5" t="n">
        <x:f>Reporting!K191</x:f>
        <x:v>0</x:v>
      </x:c>
    </x:row>
    <x:row r="200">
      <x:c r="A200" s="5" t="n">
        <x:f>Reporting!O192</x:f>
        <x:v>0</x:v>
      </x:c>
      <x:c r="B200" s="5" t="n">
        <x:f>Reporting!P192</x:f>
        <x:v>0</x:v>
      </x:c>
      <x:c r="C200" s="5" t="n">
        <x:f>Reporting!A192</x:f>
        <x:v>0</x:v>
      </x:c>
      <x:c r="D200" s="5" t="n">
        <x:f>Reporting!L192</x:f>
        <x:v>0</x:v>
      </x:c>
      <x:c r="E200" s="5" t="n">
        <x:f>Reporting!D192</x:f>
        <x:v>0</x:v>
      </x:c>
      <x:c r="F200" s="5" t="n">
        <x:f>Reporting!E192</x:f>
        <x:v>0</x:v>
      </x:c>
      <x:c r="G200" s="5" t="n">
        <x:f>Reporting!F192</x:f>
        <x:v>0</x:v>
      </x:c>
      <x:c r="H200" s="5" t="n">
        <x:f>Reporting!G192</x:f>
        <x:v>0</x:v>
      </x:c>
      <x:c r="I200" s="5" t="n">
        <x:f>Reporting!C192</x:f>
        <x:v>0</x:v>
      </x:c>
      <x:c r="J200" s="5" t="n">
        <x:f>Reporting!I192</x:f>
        <x:v>0</x:v>
      </x:c>
      <x:c r="K200" s="5" t="n">
        <x:f>Reporting!Q192</x:f>
        <x:v>0</x:v>
      </x:c>
      <x:c r="L200" s="5" t="n">
        <x:f>Reporting!R192</x:f>
        <x:v>0</x:v>
      </x:c>
      <x:c r="M200" s="5" t="n">
        <x:f>Reporting!H192</x:f>
        <x:v>0</x:v>
      </x:c>
      <x:c r="N200" s="5" t="n">
        <x:f>Reporting!K192</x:f>
        <x:v>0</x:v>
      </x:c>
    </x:row>
    <x:row r="201">
      <x:c r="A201" s="5" t="n">
        <x:f>Reporting!O193</x:f>
        <x:v>0</x:v>
      </x:c>
      <x:c r="B201" s="5" t="n">
        <x:f>Reporting!P193</x:f>
        <x:v>0</x:v>
      </x:c>
      <x:c r="C201" s="5" t="n">
        <x:f>Reporting!A193</x:f>
        <x:v>0</x:v>
      </x:c>
      <x:c r="D201" s="5" t="n">
        <x:f>Reporting!L193</x:f>
        <x:v>0</x:v>
      </x:c>
      <x:c r="E201" s="5" t="n">
        <x:f>Reporting!D193</x:f>
        <x:v>0</x:v>
      </x:c>
      <x:c r="F201" s="5" t="n">
        <x:f>Reporting!E193</x:f>
        <x:v>0</x:v>
      </x:c>
      <x:c r="G201" s="5" t="n">
        <x:f>Reporting!F193</x:f>
        <x:v>0</x:v>
      </x:c>
      <x:c r="H201" s="5" t="n">
        <x:f>Reporting!G193</x:f>
        <x:v>0</x:v>
      </x:c>
      <x:c r="I201" s="5" t="n">
        <x:f>Reporting!C193</x:f>
        <x:v>0</x:v>
      </x:c>
      <x:c r="J201" s="5" t="n">
        <x:f>Reporting!I193</x:f>
        <x:v>0</x:v>
      </x:c>
      <x:c r="K201" s="5" t="n">
        <x:f>Reporting!Q193</x:f>
        <x:v>0</x:v>
      </x:c>
      <x:c r="L201" s="5" t="n">
        <x:f>Reporting!R193</x:f>
        <x:v>0</x:v>
      </x:c>
      <x:c r="M201" s="5" t="n">
        <x:f>Reporting!H193</x:f>
        <x:v>0</x:v>
      </x:c>
      <x:c r="N201" s="5" t="n">
        <x:f>Reporting!K193</x:f>
        <x:v>0</x:v>
      </x:c>
    </x:row>
    <x:row r="202">
      <x:c r="A202" s="5" t="n">
        <x:f>Reporting!O194</x:f>
        <x:v>0</x:v>
      </x:c>
      <x:c r="B202" s="5" t="n">
        <x:f>Reporting!P194</x:f>
        <x:v>0</x:v>
      </x:c>
      <x:c r="C202" s="5" t="n">
        <x:f>Reporting!A194</x:f>
        <x:v>0</x:v>
      </x:c>
      <x:c r="D202" s="5" t="n">
        <x:f>Reporting!L194</x:f>
        <x:v>0</x:v>
      </x:c>
      <x:c r="E202" s="5" t="n">
        <x:f>Reporting!D194</x:f>
        <x:v>0</x:v>
      </x:c>
      <x:c r="F202" s="5" t="n">
        <x:f>Reporting!E194</x:f>
        <x:v>0</x:v>
      </x:c>
      <x:c r="G202" s="5" t="n">
        <x:f>Reporting!F194</x:f>
        <x:v>0</x:v>
      </x:c>
      <x:c r="H202" s="5" t="n">
        <x:f>Reporting!G194</x:f>
        <x:v>0</x:v>
      </x:c>
      <x:c r="I202" s="5" t="n">
        <x:f>Reporting!C194</x:f>
        <x:v>0</x:v>
      </x:c>
      <x:c r="J202" s="5" t="n">
        <x:f>Reporting!I194</x:f>
        <x:v>0</x:v>
      </x:c>
      <x:c r="K202" s="5" t="n">
        <x:f>Reporting!Q194</x:f>
        <x:v>0</x:v>
      </x:c>
      <x:c r="L202" s="5" t="n">
        <x:f>Reporting!R194</x:f>
        <x:v>0</x:v>
      </x:c>
      <x:c r="M202" s="5" t="n">
        <x:f>Reporting!H194</x:f>
        <x:v>0</x:v>
      </x:c>
      <x:c r="N202" s="5" t="n">
        <x:f>Reporting!K194</x:f>
        <x:v>0</x:v>
      </x:c>
    </x:row>
    <x:row r="203">
      <x:c r="A203" s="5" t="n">
        <x:f>Reporting!O195</x:f>
        <x:v>0</x:v>
      </x:c>
      <x:c r="B203" s="5" t="n">
        <x:f>Reporting!P195</x:f>
        <x:v>0</x:v>
      </x:c>
      <x:c r="C203" s="5" t="n">
        <x:f>Reporting!A195</x:f>
        <x:v>0</x:v>
      </x:c>
      <x:c r="D203" s="5" t="n">
        <x:f>Reporting!L195</x:f>
        <x:v>0</x:v>
      </x:c>
      <x:c r="E203" s="5" t="n">
        <x:f>Reporting!D195</x:f>
        <x:v>0</x:v>
      </x:c>
      <x:c r="F203" s="5" t="n">
        <x:f>Reporting!E195</x:f>
        <x:v>0</x:v>
      </x:c>
      <x:c r="G203" s="5" t="n">
        <x:f>Reporting!F195</x:f>
        <x:v>0</x:v>
      </x:c>
      <x:c r="H203" s="5" t="n">
        <x:f>Reporting!G195</x:f>
        <x:v>0</x:v>
      </x:c>
      <x:c r="I203" s="5" t="n">
        <x:f>Reporting!C195</x:f>
        <x:v>0</x:v>
      </x:c>
      <x:c r="J203" s="5" t="n">
        <x:f>Reporting!I195</x:f>
        <x:v>0</x:v>
      </x:c>
      <x:c r="K203" s="5" t="n">
        <x:f>Reporting!Q195</x:f>
        <x:v>0</x:v>
      </x:c>
      <x:c r="L203" s="5" t="n">
        <x:f>Reporting!R195</x:f>
        <x:v>0</x:v>
      </x:c>
      <x:c r="M203" s="5" t="n">
        <x:f>Reporting!H195</x:f>
        <x:v>0</x:v>
      </x:c>
      <x:c r="N203" s="5" t="n">
        <x:f>Reporting!K195</x:f>
        <x:v>0</x:v>
      </x:c>
    </x:row>
    <x:row r="204">
      <x:c r="A204" s="5" t="n">
        <x:f>Reporting!O196</x:f>
        <x:v>0</x:v>
      </x:c>
      <x:c r="B204" s="5" t="n">
        <x:f>Reporting!P196</x:f>
        <x:v>0</x:v>
      </x:c>
      <x:c r="C204" s="5" t="n">
        <x:f>Reporting!A196</x:f>
        <x:v>0</x:v>
      </x:c>
      <x:c r="D204" s="5" t="n">
        <x:f>Reporting!L196</x:f>
        <x:v>0</x:v>
      </x:c>
      <x:c r="E204" s="5" t="n">
        <x:f>Reporting!D196</x:f>
        <x:v>0</x:v>
      </x:c>
      <x:c r="F204" s="5" t="n">
        <x:f>Reporting!E196</x:f>
        <x:v>0</x:v>
      </x:c>
      <x:c r="G204" s="5" t="n">
        <x:f>Reporting!F196</x:f>
        <x:v>0</x:v>
      </x:c>
      <x:c r="H204" s="5" t="n">
        <x:f>Reporting!G196</x:f>
        <x:v>0</x:v>
      </x:c>
      <x:c r="I204" s="5" t="n">
        <x:f>Reporting!C196</x:f>
        <x:v>0</x:v>
      </x:c>
      <x:c r="J204" s="5" t="n">
        <x:f>Reporting!I196</x:f>
        <x:v>0</x:v>
      </x:c>
      <x:c r="K204" s="5" t="n">
        <x:f>Reporting!Q196</x:f>
        <x:v>0</x:v>
      </x:c>
      <x:c r="L204" s="5" t="n">
        <x:f>Reporting!R196</x:f>
        <x:v>0</x:v>
      </x:c>
      <x:c r="M204" s="5" t="n">
        <x:f>Reporting!H196</x:f>
        <x:v>0</x:v>
      </x:c>
      <x:c r="N204" s="5" t="n">
        <x:f>Reporting!K196</x:f>
        <x:v>0</x:v>
      </x:c>
    </x:row>
    <x:row r="205">
      <x:c r="A205" s="5" t="n">
        <x:f>Reporting!O197</x:f>
        <x:v>0</x:v>
      </x:c>
      <x:c r="B205" s="5" t="n">
        <x:f>Reporting!P197</x:f>
        <x:v>0</x:v>
      </x:c>
      <x:c r="C205" s="5" t="n">
        <x:f>Reporting!A197</x:f>
        <x:v>0</x:v>
      </x:c>
      <x:c r="D205" s="5" t="n">
        <x:f>Reporting!L197</x:f>
        <x:v>0</x:v>
      </x:c>
      <x:c r="E205" s="5" t="n">
        <x:f>Reporting!D197</x:f>
        <x:v>0</x:v>
      </x:c>
      <x:c r="F205" s="5" t="n">
        <x:f>Reporting!E197</x:f>
        <x:v>0</x:v>
      </x:c>
      <x:c r="G205" s="5" t="n">
        <x:f>Reporting!F197</x:f>
        <x:v>0</x:v>
      </x:c>
      <x:c r="H205" s="5" t="n">
        <x:f>Reporting!G197</x:f>
        <x:v>0</x:v>
      </x:c>
      <x:c r="I205" s="5" t="n">
        <x:f>Reporting!C197</x:f>
        <x:v>0</x:v>
      </x:c>
      <x:c r="J205" s="5" t="n">
        <x:f>Reporting!I197</x:f>
        <x:v>0</x:v>
      </x:c>
      <x:c r="K205" s="5" t="n">
        <x:f>Reporting!Q197</x:f>
        <x:v>0</x:v>
      </x:c>
      <x:c r="L205" s="5" t="n">
        <x:f>Reporting!R197</x:f>
        <x:v>0</x:v>
      </x:c>
      <x:c r="M205" s="5" t="n">
        <x:f>Reporting!H197</x:f>
        <x:v>0</x:v>
      </x:c>
      <x:c r="N205" s="5" t="n">
        <x:f>Reporting!K197</x:f>
        <x:v>0</x:v>
      </x:c>
    </x:row>
    <x:row r="206">
      <x:c r="A206" s="5" t="n">
        <x:f>Reporting!O198</x:f>
        <x:v>0</x:v>
      </x:c>
      <x:c r="B206" s="5" t="n">
        <x:f>Reporting!P198</x:f>
        <x:v>0</x:v>
      </x:c>
      <x:c r="C206" s="5" t="n">
        <x:f>Reporting!A198</x:f>
        <x:v>0</x:v>
      </x:c>
      <x:c r="D206" s="5" t="n">
        <x:f>Reporting!L198</x:f>
        <x:v>0</x:v>
      </x:c>
      <x:c r="E206" s="5" t="n">
        <x:f>Reporting!D198</x:f>
        <x:v>0</x:v>
      </x:c>
      <x:c r="F206" s="5" t="n">
        <x:f>Reporting!E198</x:f>
        <x:v>0</x:v>
      </x:c>
      <x:c r="G206" s="5" t="n">
        <x:f>Reporting!F198</x:f>
        <x:v>0</x:v>
      </x:c>
      <x:c r="H206" s="5" t="n">
        <x:f>Reporting!G198</x:f>
        <x:v>0</x:v>
      </x:c>
      <x:c r="I206" s="5" t="n">
        <x:f>Reporting!C198</x:f>
        <x:v>0</x:v>
      </x:c>
      <x:c r="J206" s="5" t="n">
        <x:f>Reporting!I198</x:f>
        <x:v>0</x:v>
      </x:c>
      <x:c r="K206" s="5" t="n">
        <x:f>Reporting!Q198</x:f>
        <x:v>0</x:v>
      </x:c>
      <x:c r="L206" s="5" t="n">
        <x:f>Reporting!R198</x:f>
        <x:v>0</x:v>
      </x:c>
      <x:c r="M206" s="5" t="n">
        <x:f>Reporting!H198</x:f>
        <x:v>0</x:v>
      </x:c>
      <x:c r="N206" s="5" t="n">
        <x:f>Reporting!K198</x:f>
        <x:v>0</x:v>
      </x:c>
    </x:row>
    <x:row r="207">
      <x:c r="A207" s="5" t="n">
        <x:f>Reporting!O199</x:f>
        <x:v>0</x:v>
      </x:c>
      <x:c r="B207" s="5" t="n">
        <x:f>Reporting!P199</x:f>
        <x:v>0</x:v>
      </x:c>
      <x:c r="C207" s="5" t="n">
        <x:f>Reporting!A199</x:f>
        <x:v>0</x:v>
      </x:c>
      <x:c r="D207" s="5" t="n">
        <x:f>Reporting!L199</x:f>
        <x:v>0</x:v>
      </x:c>
      <x:c r="E207" s="5" t="n">
        <x:f>Reporting!D199</x:f>
        <x:v>0</x:v>
      </x:c>
      <x:c r="F207" s="5" t="n">
        <x:f>Reporting!E199</x:f>
        <x:v>0</x:v>
      </x:c>
      <x:c r="G207" s="5" t="n">
        <x:f>Reporting!F199</x:f>
        <x:v>0</x:v>
      </x:c>
      <x:c r="H207" s="5" t="n">
        <x:f>Reporting!G199</x:f>
        <x:v>0</x:v>
      </x:c>
      <x:c r="I207" s="5" t="n">
        <x:f>Reporting!C199</x:f>
        <x:v>0</x:v>
      </x:c>
      <x:c r="J207" s="5" t="n">
        <x:f>Reporting!I199</x:f>
        <x:v>0</x:v>
      </x:c>
      <x:c r="K207" s="5" t="n">
        <x:f>Reporting!Q199</x:f>
        <x:v>0</x:v>
      </x:c>
      <x:c r="L207" s="5" t="n">
        <x:f>Reporting!R199</x:f>
        <x:v>0</x:v>
      </x:c>
      <x:c r="M207" s="5" t="n">
        <x:f>Reporting!H199</x:f>
        <x:v>0</x:v>
      </x:c>
      <x:c r="N207" s="5" t="n">
        <x:f>Reporting!K199</x:f>
        <x:v>0</x:v>
      </x:c>
    </x:row>
    <x:row r="208">
      <x:c r="A208" s="5" t="n">
        <x:f>Reporting!O200</x:f>
        <x:v>0</x:v>
      </x:c>
      <x:c r="B208" s="5" t="n">
        <x:f>Reporting!P200</x:f>
        <x:v>0</x:v>
      </x:c>
      <x:c r="C208" s="5" t="n">
        <x:f>Reporting!A200</x:f>
        <x:v>0</x:v>
      </x:c>
      <x:c r="D208" s="5" t="n">
        <x:f>Reporting!L200</x:f>
        <x:v>0</x:v>
      </x:c>
      <x:c r="E208" s="5" t="n">
        <x:f>Reporting!D200</x:f>
        <x:v>0</x:v>
      </x:c>
      <x:c r="F208" s="5" t="n">
        <x:f>Reporting!E200</x:f>
        <x:v>0</x:v>
      </x:c>
      <x:c r="G208" s="5" t="n">
        <x:f>Reporting!F200</x:f>
        <x:v>0</x:v>
      </x:c>
      <x:c r="H208" s="5" t="n">
        <x:f>Reporting!G200</x:f>
        <x:v>0</x:v>
      </x:c>
      <x:c r="I208" s="5" t="n">
        <x:f>Reporting!C200</x:f>
        <x:v>0</x:v>
      </x:c>
      <x:c r="J208" s="5" t="n">
        <x:f>Reporting!I200</x:f>
        <x:v>0</x:v>
      </x:c>
      <x:c r="K208" s="5" t="n">
        <x:f>Reporting!Q200</x:f>
        <x:v>0</x:v>
      </x:c>
      <x:c r="L208" s="5" t="n">
        <x:f>Reporting!R200</x:f>
        <x:v>0</x:v>
      </x:c>
      <x:c r="M208" s="5" t="n">
        <x:f>Reporting!H200</x:f>
        <x:v>0</x:v>
      </x:c>
      <x:c r="N208" s="5" t="n">
        <x:f>Reporting!K200</x:f>
        <x:v>0</x:v>
      </x:c>
    </x:row>
    <x:row r="209">
      <x:c r="A209" s="5" t="n">
        <x:f>Reporting!O201</x:f>
        <x:v>0</x:v>
      </x:c>
      <x:c r="B209" s="5" t="n">
        <x:f>Reporting!P201</x:f>
        <x:v>0</x:v>
      </x:c>
      <x:c r="C209" s="5" t="n">
        <x:f>Reporting!A201</x:f>
        <x:v>0</x:v>
      </x:c>
      <x:c r="D209" s="5" t="n">
        <x:f>Reporting!L201</x:f>
        <x:v>0</x:v>
      </x:c>
      <x:c r="E209" s="5" t="n">
        <x:f>Reporting!D201</x:f>
        <x:v>0</x:v>
      </x:c>
      <x:c r="F209" s="5" t="n">
        <x:f>Reporting!E201</x:f>
        <x:v>0</x:v>
      </x:c>
      <x:c r="G209" s="5" t="n">
        <x:f>Reporting!F201</x:f>
        <x:v>0</x:v>
      </x:c>
      <x:c r="H209" s="5" t="n">
        <x:f>Reporting!G201</x:f>
        <x:v>0</x:v>
      </x:c>
      <x:c r="I209" s="5" t="n">
        <x:f>Reporting!C201</x:f>
        <x:v>0</x:v>
      </x:c>
      <x:c r="J209" s="5" t="n">
        <x:f>Reporting!I201</x:f>
        <x:v>0</x:v>
      </x:c>
      <x:c r="K209" s="5" t="n">
        <x:f>Reporting!Q201</x:f>
        <x:v>0</x:v>
      </x:c>
      <x:c r="L209" s="5" t="n">
        <x:f>Reporting!R201</x:f>
        <x:v>0</x:v>
      </x:c>
      <x:c r="M209" s="5" t="n">
        <x:f>Reporting!H201</x:f>
        <x:v>0</x:v>
      </x:c>
      <x:c r="N209" s="5" t="n">
        <x:f>Reporting!K201</x:f>
        <x:v>0</x:v>
      </x:c>
    </x:row>
    <x:row r="210">
      <x:c r="A210" s="5" t="n">
        <x:f>Reporting!O202</x:f>
        <x:v>0</x:v>
      </x:c>
      <x:c r="B210" s="5" t="n">
        <x:f>Reporting!P202</x:f>
        <x:v>0</x:v>
      </x:c>
      <x:c r="C210" s="5" t="n">
        <x:f>Reporting!A202</x:f>
        <x:v>0</x:v>
      </x:c>
      <x:c r="D210" s="5" t="n">
        <x:f>Reporting!L202</x:f>
        <x:v>0</x:v>
      </x:c>
      <x:c r="E210" s="5" t="n">
        <x:f>Reporting!D202</x:f>
        <x:v>0</x:v>
      </x:c>
      <x:c r="F210" s="5" t="n">
        <x:f>Reporting!E202</x:f>
        <x:v>0</x:v>
      </x:c>
      <x:c r="G210" s="5" t="n">
        <x:f>Reporting!F202</x:f>
        <x:v>0</x:v>
      </x:c>
      <x:c r="H210" s="5" t="n">
        <x:f>Reporting!G202</x:f>
        <x:v>0</x:v>
      </x:c>
      <x:c r="I210" s="5" t="n">
        <x:f>Reporting!C202</x:f>
        <x:v>0</x:v>
      </x:c>
      <x:c r="J210" s="5" t="n">
        <x:f>Reporting!I202</x:f>
        <x:v>0</x:v>
      </x:c>
      <x:c r="K210" s="5" t="n">
        <x:f>Reporting!Q202</x:f>
        <x:v>0</x:v>
      </x:c>
      <x:c r="L210" s="5" t="n">
        <x:f>Reporting!R202</x:f>
        <x:v>0</x:v>
      </x:c>
      <x:c r="M210" s="5" t="n">
        <x:f>Reporting!H202</x:f>
        <x:v>0</x:v>
      </x:c>
      <x:c r="N210" s="5" t="n">
        <x:f>Reporting!K202</x:f>
        <x:v>0</x:v>
      </x:c>
    </x:row>
    <x:row r="211">
      <x:c r="A211" s="5" t="n">
        <x:f>Reporting!O203</x:f>
        <x:v>0</x:v>
      </x:c>
      <x:c r="B211" s="5" t="n">
        <x:f>Reporting!P203</x:f>
        <x:v>0</x:v>
      </x:c>
      <x:c r="C211" s="5" t="n">
        <x:f>Reporting!A203</x:f>
        <x:v>0</x:v>
      </x:c>
      <x:c r="D211" s="5" t="n">
        <x:f>Reporting!L203</x:f>
        <x:v>0</x:v>
      </x:c>
      <x:c r="E211" s="5" t="n">
        <x:f>Reporting!D203</x:f>
        <x:v>0</x:v>
      </x:c>
      <x:c r="F211" s="5" t="n">
        <x:f>Reporting!E203</x:f>
        <x:v>0</x:v>
      </x:c>
      <x:c r="G211" s="5" t="n">
        <x:f>Reporting!F203</x:f>
        <x:v>0</x:v>
      </x:c>
      <x:c r="H211" s="5" t="n">
        <x:f>Reporting!G203</x:f>
        <x:v>0</x:v>
      </x:c>
      <x:c r="I211" s="5" t="n">
        <x:f>Reporting!C203</x:f>
        <x:v>0</x:v>
      </x:c>
      <x:c r="J211" s="5" t="n">
        <x:f>Reporting!I203</x:f>
        <x:v>0</x:v>
      </x:c>
      <x:c r="K211" s="5" t="n">
        <x:f>Reporting!Q203</x:f>
        <x:v>0</x:v>
      </x:c>
      <x:c r="L211" s="5" t="n">
        <x:f>Reporting!R203</x:f>
        <x:v>0</x:v>
      </x:c>
      <x:c r="M211" s="5" t="n">
        <x:f>Reporting!H203</x:f>
        <x:v>0</x:v>
      </x:c>
      <x:c r="N211" s="5" t="n">
        <x:f>Reporting!K203</x:f>
        <x:v>0</x:v>
      </x:c>
    </x:row>
    <x:row r="212">
      <x:c r="A212" s="5" t="n">
        <x:f>Reporting!O204</x:f>
        <x:v>0</x:v>
      </x:c>
      <x:c r="B212" s="5" t="n">
        <x:f>Reporting!P204</x:f>
        <x:v>0</x:v>
      </x:c>
      <x:c r="C212" s="5" t="n">
        <x:f>Reporting!A204</x:f>
        <x:v>0</x:v>
      </x:c>
      <x:c r="D212" s="5" t="n">
        <x:f>Reporting!L204</x:f>
        <x:v>0</x:v>
      </x:c>
      <x:c r="E212" s="5" t="n">
        <x:f>Reporting!D204</x:f>
        <x:v>0</x:v>
      </x:c>
      <x:c r="F212" s="5" t="n">
        <x:f>Reporting!E204</x:f>
        <x:v>0</x:v>
      </x:c>
      <x:c r="G212" s="5" t="n">
        <x:f>Reporting!F204</x:f>
        <x:v>0</x:v>
      </x:c>
      <x:c r="H212" s="5" t="n">
        <x:f>Reporting!G204</x:f>
        <x:v>0</x:v>
      </x:c>
      <x:c r="I212" s="5" t="n">
        <x:f>Reporting!C204</x:f>
        <x:v>0</x:v>
      </x:c>
      <x:c r="J212" s="5" t="n">
        <x:f>Reporting!I204</x:f>
        <x:v>0</x:v>
      </x:c>
      <x:c r="K212" s="5" t="n">
        <x:f>Reporting!Q204</x:f>
        <x:v>0</x:v>
      </x:c>
      <x:c r="L212" s="5" t="n">
        <x:f>Reporting!R204</x:f>
        <x:v>0</x:v>
      </x:c>
      <x:c r="M212" s="5" t="n">
        <x:f>Reporting!H204</x:f>
        <x:v>0</x:v>
      </x:c>
      <x:c r="N212" s="5" t="n">
        <x:f>Reporting!K204</x:f>
        <x:v>0</x:v>
      </x:c>
    </x:row>
  </x:sheetData>
  <x:mergeCells>
    <x:mergeCell ref="A1:N1"/>
    <x:mergeCell ref="A2:N2"/>
  </x:mergeCells>
  <x:conditionalFormatting sqref="L5:L212">
    <x:cfRule type="expression" dxfId="1" priority="1">
      <x:formula>L5="KO"</x:formula>
    </x:cfRule>
    <x:cfRule type="expression" dxfId="0" priority="2">
      <x:formula>L5="OK"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9e9ae1f67f4cda"/>
  </x:tableParts>
</x:worksheet>
</file>

<file path=xl/worksheets/sheet12.xml><?xml version="1.0" encoding="utf-8"?>
<x:worksheet xmlns:x="http://schemas.openxmlformats.org/spreadsheetml/2006/main">
  <x:sheetFormatPr baseColWidth="10" defaultColWidth="8.88671875" defaultRowHeight="14.399999618530273"/>
  <x:cols>
    <x:col min="1" max="1" width="18" customWidth="1"/>
    <x:col min="2" max="2" width="27" customWidth="1"/>
    <x:col min="3" max="4" width="20" customWidth="1"/>
    <x:col min="5" max="5" width="18" customWidth="1"/>
    <x:col min="6" max="6" width="16" customWidth="1"/>
  </x:cols>
  <x:sheetData>
    <x:row r="1">
      <x:c r="A1" s="1" t="s">
        <x:v>264</x:v>
      </x:c>
      <x:c r="B1" s="1" t="s">
        <x:v>265</x:v>
      </x:c>
      <x:c r="C1" s="1" t="s">
        <x:v>266</x:v>
      </x:c>
      <x:c r="D1" s="1" t="s">
        <x:v>267</x:v>
      </x:c>
      <x:c r="E1" s="1" t="s">
        <x:v>268</x:v>
      </x:c>
      <x:c r="F1" s="1" t="s">
        <x:v>256</x:v>
      </x:c>
    </x:row>
    <x:row r="2">
      <x:c r="A2" s="2" t="s">
        <x:v>61</x:v>
      </x:c>
      <x:c r="B2" s="2" t="s">
        <x:v>91</x:v>
      </x:c>
      <x:c r="C2" s="2" t="s">
        <x:v>269</x:v>
      </x:c>
      <x:c r="D2" s="2" t="s">
        <x:v>222</x:v>
      </x:c>
      <x:c r="E2" s="2" t="s">
        <x:v>180</x:v>
      </x:c>
      <x:c r="F2" s="2" t="s">
        <x:v>191</x:v>
      </x:c>
    </x:row>
    <x:row r="3">
      <x:c r="A3" s="2" t="s">
        <x:v>127</x:v>
      </x:c>
      <x:c r="B3" s="2" t="s">
        <x:v>63</x:v>
      </x:c>
      <x:c r="C3" s="2" t="s">
        <x:v>270</x:v>
      </x:c>
      <x:c r="D3" s="2" t="s">
        <x:v>223</x:v>
      </x:c>
      <x:c r="E3" s="2" t="s">
        <x:v>218</x:v>
      </x:c>
      <x:c r="F3" s="2" t="s">
        <x:v>186</x:v>
      </x:c>
    </x:row>
    <x:row r="4">
      <x:c r="A4" s="2"/>
      <x:c r="B4" s="2" t="s">
        <x:v>153</x:v>
      </x:c>
      <x:c r="C4" s="2"/>
      <x:c r="D4" s="2" t="s">
        <x:v>271</x:v>
      </x:c>
      <x:c r="E4" s="2" t="s">
        <x:v>219</x:v>
      </x:c>
      <x:c r="F4" s="2"/>
    </x:row>
    <x:row r="5">
      <x:c r="A5" s="2"/>
      <x:c r="B5" s="2" t="s">
        <x:v>251</x:v>
      </x:c>
      <x:c r="C5" s="2"/>
      <x:c r="D5" s="2" t="s">
        <x:v>272</x:v>
      </x:c>
      <x:c r="E5" s="2" t="s">
        <x:v>273</x:v>
      </x:c>
      <x:c r="F5" s="2"/>
    </x:row>
    <x:row r="6">
      <x:c r="A6" s="2"/>
      <x:c r="B6" s="2" t="s">
        <x:v>83</x:v>
      </x:c>
      <x:c r="C6" s="2"/>
      <x:c r="D6" s="2"/>
      <x:c r="E6" s="2" t="s">
        <x:v>274</x:v>
      </x:c>
      <x:c r="F6" s="2"/>
    </x:row>
    <x:row r="7">
      <x:c r="A7" s="2"/>
      <x:c r="B7" s="2" t="s">
        <x:v>115</x:v>
      </x:c>
      <x:c r="C7" s="2"/>
      <x:c r="D7" s="2"/>
      <x:c r="E7" s="2" t="s">
        <x:v>275</x:v>
      </x:c>
      <x:c r="F7" s="2"/>
    </x:row>
    <x:row r="8">
      <x:c r="A8" s="2"/>
      <x:c r="B8" s="2" t="s">
        <x:v>252</x:v>
      </x:c>
      <x:c r="C8" s="2"/>
      <x:c r="D8" s="2"/>
      <x:c r="E8" s="2"/>
      <x:c r="F8" s="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10" defaultColWidth="8.88671875" defaultRowHeight="14.399999618530273"/>
  <x:cols>
    <x:col min="1" max="1" width="12.6640625" customWidth="1"/>
    <x:col min="2" max="2" width="11.21875" customWidth="1"/>
    <x:col min="3" max="3" width="16" customWidth="1"/>
    <x:col min="4" max="5" width="18" customWidth="1"/>
    <x:col min="6" max="6" width="12.21875" customWidth="1"/>
    <x:col min="7" max="7" width="11.88671875" customWidth="1"/>
    <x:col min="8" max="8" width="6.88671875" customWidth="1"/>
    <x:col min="9" max="9" width="17.21875" customWidth="1"/>
    <x:col min="10" max="10" width="6.77734375" customWidth="1"/>
    <x:col min="11" max="11" width="38" customWidth="1"/>
    <x:col min="12" max="12" width="12.77734375" customWidth="1"/>
    <x:col min="13" max="13" width="11.44140625" customWidth="1"/>
    <x:col min="14" max="14" width="20.6640625" customWidth="1"/>
    <x:col min="15" max="15" width="7.21875" customWidth="1"/>
    <x:col min="16" max="16" width="13.33203125" customWidth="1"/>
    <x:col min="17" max="17" width="7.6640625" customWidth="1"/>
    <x:col min="18" max="18" width="11.77734375" customWidth="1"/>
  </x:cols>
  <x:sheetData>
    <x:row r="1" ht="18">
      <x:c r="A1" s="24" t="s">
        <x:v>276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</x:row>
    <x:row r="2" ht="18">
      <x:c r="A2" s="24" t="s">
        <x:v>277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</x:row>
    <x:row r="4" ht="16.049999237060547" customHeight="1">
      <x:c r="A4" s="12" t="s">
        <x:v>177</x:v>
      </x:c>
      <x:c r="B4" s="13" t="s">
        <x:v>278</x:v>
      </x:c>
      <x:c r="C4" s="13" t="s">
        <x:v>45</x:v>
      </x:c>
      <x:c r="D4" s="13" t="s">
        <x:v>46</x:v>
      </x:c>
      <x:c r="E4" s="13" t="s">
        <x:v>48</x:v>
      </x:c>
      <x:c r="F4" s="13" t="s">
        <x:v>257</x:v>
      </x:c>
      <x:c r="G4" s="13" t="s">
        <x:v>221</x:v>
      </x:c>
      <x:c r="H4" s="13" t="s">
        <x:v>279</x:v>
      </x:c>
      <x:c r="I4" s="13" t="s">
        <x:v>260</x:v>
      </x:c>
      <x:c r="J4" s="13" t="s">
        <x:v>280</x:v>
      </x:c>
      <x:c r="K4" s="13" t="s">
        <x:v>184</x:v>
      </x:c>
      <x:c r="L4" s="13" t="s">
        <x:v>178</x:v>
      </x:c>
      <x:c r="M4" s="13" t="s">
        <x:v>7</x:v>
      </x:c>
      <x:c r="N4" s="13" t="s">
        <x:v>281</x:v>
      </x:c>
      <x:c r="O4" s="13" t="s">
        <x:v>254</x:v>
      </x:c>
      <x:c r="P4" s="13" t="s">
        <x:v>282</x:v>
      </x:c>
      <x:c r="Q4" s="13" t="s">
        <x:v>283</x:v>
      </x:c>
      <x:c r="R4" s="14" t="s">
        <x:v>284</x:v>
      </x:c>
    </x:row>
    <x:row r="5" ht="16.049999237060547" customHeight="1">
      <x:c r="A5" s="15" t="s">
        <x:v>235</x:v>
      </x:c>
      <x:c r="B5" s="16">
        <x:v>46236</x:v>
      </x:c>
      <x:c r="C5" s="16" t="s">
        <x:v>285</x:v>
      </x:c>
      <x:c r="D5" s="16" t="s">
        <x:v>61</x:v>
      </x:c>
      <x:c r="E5" s="16" t="s">
        <x:v>91</x:v>
      </x:c>
      <x:c r="F5" s="16" t="s">
        <x:v>269</x:v>
      </x:c>
      <x:c r="G5" s="16" t="s">
        <x:v>223</x:v>
      </x:c>
      <x:c r="H5" s="16" t="s">
        <x:v>219</x:v>
      </x:c>
      <x:c r="I5" s="16" t="s">
        <x:v>286</x:v>
      </x:c>
      <x:c r="J5" s="16">
        <x:v>1</x:v>
      </x:c>
      <x:c r="K5" s="16"/>
      <x:c r="L5" s="16" t="s">
        <x:v>287</x:v>
      </x:c>
      <x:c r="M5" s="16" t="s">
        <x:v>288</x:v>
      </x:c>
      <x:c r="N5" s="16" t="s">
        <x:v>289</x:v>
      </x:c>
      <x:c r="O5" s="16" t="s">
        <x:v>290</x:v>
      </x:c>
      <x:c r="P5" s="16" t="s">
        <x:v>291</x:v>
      </x:c>
      <x:c r="Q5" s="16" t="s">
        <x:v>292</x:v>
      </x:c>
      <x:c r="R5" s="17" t="s">
        <x:v>233</x:v>
      </x:c>
    </x:row>
    <x:row r="6" ht="16.049999237060547" customHeight="1">
      <x:c r="A6" s="15" t="s">
        <x:v>235</x:v>
      </x:c>
      <x:c r="B6" s="16">
        <x:v>46236</x:v>
      </x:c>
      <x:c r="C6" s="16" t="s">
        <x:v>293</x:v>
      </x:c>
      <x:c r="D6" s="16" t="s">
        <x:v>61</x:v>
      </x:c>
      <x:c r="E6" s="16" t="s">
        <x:v>91</x:v>
      </x:c>
      <x:c r="F6" s="16" t="s">
        <x:v>269</x:v>
      </x:c>
      <x:c r="G6" s="16" t="s">
        <x:v>222</x:v>
      </x:c>
      <x:c r="H6" s="16" t="s">
        <x:v>180</x:v>
      </x:c>
      <x:c r="I6" s="16" t="s">
        <x:v>294</x:v>
      </x:c>
      <x:c r="J6" s="16">
        <x:v>1</x:v>
      </x:c>
      <x:c r="K6" s="16" t="s">
        <x:v>295</x:v>
      </x:c>
      <x:c r="L6" s="16" t="s">
        <x:v>287</x:v>
      </x:c>
      <x:c r="M6" s="16" t="s">
        <x:v>288</x:v>
      </x:c>
      <x:c r="N6" s="16" t="s">
        <x:v>289</x:v>
      </x:c>
      <x:c r="O6" s="16" t="s">
        <x:v>290</x:v>
      </x:c>
      <x:c r="P6" s="16" t="s">
        <x:v>291</x:v>
      </x:c>
      <x:c r="Q6" s="16" t="s">
        <x:v>296</x:v>
      </x:c>
      <x:c r="R6" s="17" t="s">
        <x:v>232</x:v>
      </x:c>
    </x:row>
    <x:row r="7" ht="16.049999237060547" customHeight="1">
      <x:c r="A7" s="15" t="s">
        <x:v>235</x:v>
      </x:c>
      <x:c r="B7" s="16">
        <x:v>46236</x:v>
      </x:c>
      <x:c r="C7" s="16" t="s">
        <x:v>297</x:v>
      </x:c>
      <x:c r="D7" s="16" t="s">
        <x:v>61</x:v>
      </x:c>
      <x:c r="E7" s="16" t="s">
        <x:v>91</x:v>
      </x:c>
      <x:c r="F7" s="16" t="s">
        <x:v>269</x:v>
      </x:c>
      <x:c r="G7" s="16" t="s">
        <x:v>222</x:v>
      </x:c>
      <x:c r="H7" s="16" t="s">
        <x:v>218</x:v>
      </x:c>
      <x:c r="I7" s="16" t="s">
        <x:v>298</x:v>
      </x:c>
      <x:c r="J7" s="16">
        <x:v>1</x:v>
      </x:c>
      <x:c r="K7" s="16"/>
      <x:c r="L7" s="16" t="s">
        <x:v>287</x:v>
      </x:c>
      <x:c r="M7" s="16" t="s">
        <x:v>288</x:v>
      </x:c>
      <x:c r="N7" s="16" t="s">
        <x:v>289</x:v>
      </x:c>
      <x:c r="O7" s="16" t="s">
        <x:v>290</x:v>
      </x:c>
      <x:c r="P7" s="16" t="s">
        <x:v>291</x:v>
      </x:c>
      <x:c r="Q7" s="16" t="s">
        <x:v>218</x:v>
      </x:c>
      <x:c r="R7" s="17" t="s">
        <x:v>218</x:v>
      </x:c>
    </x:row>
    <x:row r="8" ht="16.049999237060547" customHeight="1">
      <x:c r="A8" s="15" t="s">
        <x:v>235</x:v>
      </x:c>
      <x:c r="B8" s="16">
        <x:v>46236</x:v>
      </x:c>
      <x:c r="C8" s="16" t="s">
        <x:v>299</x:v>
      </x:c>
      <x:c r="D8" s="16" t="s">
        <x:v>61</x:v>
      </x:c>
      <x:c r="E8" s="16" t="s">
        <x:v>83</x:v>
      </x:c>
      <x:c r="F8" s="16" t="s">
        <x:v>269</x:v>
      </x:c>
      <x:c r="G8" s="16" t="s">
        <x:v>222</x:v>
      </x:c>
      <x:c r="H8" s="16" t="s">
        <x:v>180</x:v>
      </x:c>
      <x:c r="I8" s="16" t="s">
        <x:v>300</x:v>
      </x:c>
      <x:c r="J8" s="16">
        <x:v>1</x:v>
      </x:c>
      <x:c r="K8" s="16"/>
      <x:c r="L8" s="16" t="s">
        <x:v>287</x:v>
      </x:c>
      <x:c r="M8" s="16" t="s">
        <x:v>288</x:v>
      </x:c>
      <x:c r="N8" s="16" t="s">
        <x:v>289</x:v>
      </x:c>
      <x:c r="O8" s="16" t="s">
        <x:v>290</x:v>
      </x:c>
      <x:c r="P8" s="16" t="s">
        <x:v>291</x:v>
      </x:c>
      <x:c r="Q8" s="16" t="s">
        <x:v>296</x:v>
      </x:c>
      <x:c r="R8" s="17" t="s">
        <x:v>232</x:v>
      </x:c>
    </x:row>
    <x:row r="9" ht="16.049999237060547" customHeight="1">
      <x:c r="A9" s="15" t="s">
        <x:v>235</x:v>
      </x:c>
      <x:c r="B9" s="16">
        <x:v>46236</x:v>
      </x:c>
      <x:c r="C9" s="16" t="s">
        <x:v>301</x:v>
      </x:c>
      <x:c r="D9" s="16" t="s">
        <x:v>61</x:v>
      </x:c>
      <x:c r="E9" s="16" t="s">
        <x:v>83</x:v>
      </x:c>
      <x:c r="F9" s="16" t="s">
        <x:v>269</x:v>
      </x:c>
      <x:c r="G9" s="16" t="s">
        <x:v>222</x:v>
      </x:c>
      <x:c r="H9" s="16" t="s">
        <x:v>180</x:v>
      </x:c>
      <x:c r="I9" s="16" t="s">
        <x:v>300</x:v>
      </x:c>
      <x:c r="J9" s="16">
        <x:v>1</x:v>
      </x:c>
      <x:c r="K9" s="16"/>
      <x:c r="L9" s="16" t="s">
        <x:v>287</x:v>
      </x:c>
      <x:c r="M9" s="16" t="s">
        <x:v>288</x:v>
      </x:c>
      <x:c r="N9" s="16" t="s">
        <x:v>289</x:v>
      </x:c>
      <x:c r="O9" s="16" t="s">
        <x:v>290</x:v>
      </x:c>
      <x:c r="P9" s="16" t="s">
        <x:v>291</x:v>
      </x:c>
      <x:c r="Q9" s="16" t="s">
        <x:v>296</x:v>
      </x:c>
      <x:c r="R9" s="17" t="s">
        <x:v>232</x:v>
      </x:c>
    </x:row>
    <x:row r="10" ht="16.049999237060547" customHeight="1">
      <x:c r="A10" s="15" t="s">
        <x:v>235</x:v>
      </x:c>
      <x:c r="B10" s="16">
        <x:v>46236</x:v>
      </x:c>
      <x:c r="C10" s="16" t="s">
        <x:v>302</x:v>
      </x:c>
      <x:c r="D10" s="16" t="s">
        <x:v>127</x:v>
      </x:c>
      <x:c r="E10" s="16" t="s">
        <x:v>91</x:v>
      </x:c>
      <x:c r="F10" s="16" t="s">
        <x:v>269</x:v>
      </x:c>
      <x:c r="G10" s="16" t="s">
        <x:v>223</x:v>
      </x:c>
      <x:c r="H10" s="16" t="s">
        <x:v>218</x:v>
      </x:c>
      <x:c r="I10" s="16" t="s">
        <x:v>303</x:v>
      </x:c>
      <x:c r="J10" s="16">
        <x:v>1</x:v>
      </x:c>
      <x:c r="K10" s="16"/>
      <x:c r="L10" s="16" t="s">
        <x:v>287</x:v>
      </x:c>
      <x:c r="M10" s="16" t="s">
        <x:v>288</x:v>
      </x:c>
      <x:c r="N10" s="16" t="s">
        <x:v>289</x:v>
      </x:c>
      <x:c r="O10" s="16" t="s">
        <x:v>290</x:v>
      </x:c>
      <x:c r="P10" s="16" t="s">
        <x:v>291</x:v>
      </x:c>
      <x:c r="Q10" s="16" t="s">
        <x:v>218</x:v>
      </x:c>
      <x:c r="R10" s="17" t="s">
        <x:v>218</x:v>
      </x:c>
    </x:row>
    <x:row r="11" ht="16.049999237060547" customHeight="1">
      <x:c r="A11" s="15" t="s">
        <x:v>235</x:v>
      </x:c>
      <x:c r="B11" s="16">
        <x:v>46236</x:v>
      </x:c>
      <x:c r="C11" s="16" t="s">
        <x:v>304</x:v>
      </x:c>
      <x:c r="D11" s="16" t="s">
        <x:v>127</x:v>
      </x:c>
      <x:c r="E11" s="16" t="s">
        <x:v>91</x:v>
      </x:c>
      <x:c r="F11" s="16" t="s">
        <x:v>269</x:v>
      </x:c>
      <x:c r="G11" s="16" t="s">
        <x:v>222</x:v>
      </x:c>
      <x:c r="H11" s="16" t="s">
        <x:v>180</x:v>
      </x:c>
      <x:c r="I11" s="16" t="s">
        <x:v>305</x:v>
      </x:c>
      <x:c r="J11" s="16">
        <x:v>1</x:v>
      </x:c>
      <x:c r="K11" s="16"/>
      <x:c r="L11" s="16" t="s">
        <x:v>287</x:v>
      </x:c>
      <x:c r="M11" s="16" t="s">
        <x:v>288</x:v>
      </x:c>
      <x:c r="N11" s="16" t="s">
        <x:v>289</x:v>
      </x:c>
      <x:c r="O11" s="16" t="s">
        <x:v>290</x:v>
      </x:c>
      <x:c r="P11" s="16" t="s">
        <x:v>291</x:v>
      </x:c>
      <x:c r="Q11" s="16" t="s">
        <x:v>296</x:v>
      </x:c>
      <x:c r="R11" s="17" t="s">
        <x:v>232</x:v>
      </x:c>
    </x:row>
    <x:row r="12" ht="16.049999237060547" customHeight="1">
      <x:c r="A12" s="15" t="s">
        <x:v>235</x:v>
      </x:c>
      <x:c r="B12" s="16">
        <x:v>46236</x:v>
      </x:c>
      <x:c r="C12" s="16" t="s">
        <x:v>306</x:v>
      </x:c>
      <x:c r="D12" s="16" t="s">
        <x:v>127</x:v>
      </x:c>
      <x:c r="E12" s="16" t="s">
        <x:v>91</x:v>
      </x:c>
      <x:c r="F12" s="16" t="s">
        <x:v>269</x:v>
      </x:c>
      <x:c r="G12" s="16" t="s">
        <x:v>222</x:v>
      </x:c>
      <x:c r="H12" s="16" t="s">
        <x:v>180</x:v>
      </x:c>
      <x:c r="I12" s="16" t="s">
        <x:v>305</x:v>
      </x:c>
      <x:c r="J12" s="16">
        <x:v>1</x:v>
      </x:c>
      <x:c r="K12" s="16"/>
      <x:c r="L12" s="16" t="s">
        <x:v>287</x:v>
      </x:c>
      <x:c r="M12" s="16" t="s">
        <x:v>288</x:v>
      </x:c>
      <x:c r="N12" s="16" t="s">
        <x:v>289</x:v>
      </x:c>
      <x:c r="O12" s="16" t="s">
        <x:v>290</x:v>
      </x:c>
      <x:c r="P12" s="16" t="s">
        <x:v>291</x:v>
      </x:c>
      <x:c r="Q12" s="16" t="s">
        <x:v>296</x:v>
      </x:c>
      <x:c r="R12" s="17" t="s">
        <x:v>232</x:v>
      </x:c>
    </x:row>
    <x:row r="13" ht="16.049999237060547" customHeight="1">
      <x:c r="A13" s="15" t="s">
        <x:v>235</x:v>
      </x:c>
      <x:c r="B13" s="16">
        <x:v>46236</x:v>
      </x:c>
      <x:c r="C13" s="16" t="s">
        <x:v>307</x:v>
      </x:c>
      <x:c r="D13" s="16" t="s">
        <x:v>127</x:v>
      </x:c>
      <x:c r="E13" s="16" t="s">
        <x:v>91</x:v>
      </x:c>
      <x:c r="F13" s="16" t="s">
        <x:v>269</x:v>
      </x:c>
      <x:c r="G13" s="16" t="s">
        <x:v>222</x:v>
      </x:c>
      <x:c r="H13" s="16" t="s">
        <x:v>180</x:v>
      </x:c>
      <x:c r="I13" s="16" t="s">
        <x:v>308</x:v>
      </x:c>
      <x:c r="J13" s="16">
        <x:v>1</x:v>
      </x:c>
      <x:c r="K13" s="16"/>
      <x:c r="L13" s="16" t="s">
        <x:v>287</x:v>
      </x:c>
      <x:c r="M13" s="16" t="s">
        <x:v>288</x:v>
      </x:c>
      <x:c r="N13" s="16" t="s">
        <x:v>289</x:v>
      </x:c>
      <x:c r="O13" s="16" t="s">
        <x:v>290</x:v>
      </x:c>
      <x:c r="P13" s="16" t="s">
        <x:v>291</x:v>
      </x:c>
      <x:c r="Q13" s="16" t="s">
        <x:v>296</x:v>
      </x:c>
      <x:c r="R13" s="17" t="s">
        <x:v>232</x:v>
      </x:c>
    </x:row>
    <x:row r="14" ht="16.049999237060547" customHeight="1">
      <x:c r="A14" s="15" t="s">
        <x:v>235</x:v>
      </x:c>
      <x:c r="B14" s="16">
        <x:v>46236</x:v>
      </x:c>
      <x:c r="C14" s="16" t="s">
        <x:v>309</x:v>
      </x:c>
      <x:c r="D14" s="16" t="s">
        <x:v>127</x:v>
      </x:c>
      <x:c r="E14" s="16" t="s">
        <x:v>91</x:v>
      </x:c>
      <x:c r="F14" s="16" t="s">
        <x:v>269</x:v>
      </x:c>
      <x:c r="G14" s="16" t="s">
        <x:v>222</x:v>
      </x:c>
      <x:c r="H14" s="16" t="s">
        <x:v>180</x:v>
      </x:c>
      <x:c r="I14" s="16" t="s">
        <x:v>308</x:v>
      </x:c>
      <x:c r="J14" s="16">
        <x:v>1</x:v>
      </x:c>
      <x:c r="K14" s="16"/>
      <x:c r="L14" s="16" t="s">
        <x:v>287</x:v>
      </x:c>
      <x:c r="M14" s="16" t="s">
        <x:v>288</x:v>
      </x:c>
      <x:c r="N14" s="16" t="s">
        <x:v>289</x:v>
      </x:c>
      <x:c r="O14" s="16" t="s">
        <x:v>290</x:v>
      </x:c>
      <x:c r="P14" s="16" t="s">
        <x:v>291</x:v>
      </x:c>
      <x:c r="Q14" s="16" t="s">
        <x:v>296</x:v>
      </x:c>
      <x:c r="R14" s="17" t="s">
        <x:v>232</x:v>
      </x:c>
    </x:row>
    <x:row r="15" ht="16.049999237060547" customHeight="1">
      <x:c r="A15" s="15" t="s">
        <x:v>235</x:v>
      </x:c>
      <x:c r="B15" s="16">
        <x:v>46236</x:v>
      </x:c>
      <x:c r="C15" s="16" t="s">
        <x:v>310</x:v>
      </x:c>
      <x:c r="D15" s="16" t="s">
        <x:v>127</x:v>
      </x:c>
      <x:c r="E15" s="16" t="s">
        <x:v>91</x:v>
      </x:c>
      <x:c r="F15" s="16" t="s">
        <x:v>269</x:v>
      </x:c>
      <x:c r="G15" s="16" t="s">
        <x:v>222</x:v>
      </x:c>
      <x:c r="H15" s="16" t="s">
        <x:v>180</x:v>
      </x:c>
      <x:c r="I15" s="16" t="s">
        <x:v>311</x:v>
      </x:c>
      <x:c r="J15" s="16">
        <x:v>1</x:v>
      </x:c>
      <x:c r="K15" s="16"/>
      <x:c r="L15" s="16" t="s">
        <x:v>287</x:v>
      </x:c>
      <x:c r="M15" s="16" t="s">
        <x:v>288</x:v>
      </x:c>
      <x:c r="N15" s="16" t="s">
        <x:v>289</x:v>
      </x:c>
      <x:c r="O15" s="16" t="s">
        <x:v>290</x:v>
      </x:c>
      <x:c r="P15" s="16" t="s">
        <x:v>291</x:v>
      </x:c>
      <x:c r="Q15" s="16" t="s">
        <x:v>296</x:v>
      </x:c>
      <x:c r="R15" s="17" t="s">
        <x:v>232</x:v>
      </x:c>
    </x:row>
    <x:row r="16" ht="16.049999237060547" customHeight="1">
      <x:c r="A16" s="15" t="s">
        <x:v>235</x:v>
      </x:c>
      <x:c r="B16" s="16">
        <x:v>46236</x:v>
      </x:c>
      <x:c r="C16" s="16" t="s">
        <x:v>312</x:v>
      </x:c>
      <x:c r="D16" s="16" t="s">
        <x:v>127</x:v>
      </x:c>
      <x:c r="E16" s="16" t="s">
        <x:v>91</x:v>
      </x:c>
      <x:c r="F16" s="16" t="s">
        <x:v>269</x:v>
      </x:c>
      <x:c r="G16" s="16" t="s">
        <x:v>222</x:v>
      </x:c>
      <x:c r="H16" s="16" t="s">
        <x:v>219</x:v>
      </x:c>
      <x:c r="I16" s="16" t="s">
        <x:v>305</x:v>
      </x:c>
      <x:c r="J16" s="16">
        <x:v>1</x:v>
      </x:c>
      <x:c r="K16" s="16"/>
      <x:c r="L16" s="16" t="s">
        <x:v>287</x:v>
      </x:c>
      <x:c r="M16" s="16" t="s">
        <x:v>288</x:v>
      </x:c>
      <x:c r="N16" s="16" t="s">
        <x:v>289</x:v>
      </x:c>
      <x:c r="O16" s="16" t="s">
        <x:v>290</x:v>
      </x:c>
      <x:c r="P16" s="16" t="s">
        <x:v>291</x:v>
      </x:c>
      <x:c r="Q16" s="16" t="s">
        <x:v>292</x:v>
      </x:c>
      <x:c r="R16" s="17" t="s">
        <x:v>233</x:v>
      </x:c>
    </x:row>
    <x:row r="17" ht="16.049999237060547" customHeight="1">
      <x:c r="A17" s="15" t="s">
        <x:v>235</x:v>
      </x:c>
      <x:c r="B17" s="16">
        <x:v>46236</x:v>
      </x:c>
      <x:c r="C17" s="16" t="s">
        <x:v>313</x:v>
      </x:c>
      <x:c r="D17" s="16" t="s">
        <x:v>127</x:v>
      </x:c>
      <x:c r="E17" s="16" t="s">
        <x:v>153</x:v>
      </x:c>
      <x:c r="F17" s="16" t="s">
        <x:v>269</x:v>
      </x:c>
      <x:c r="G17" s="16" t="s">
        <x:v>222</x:v>
      </x:c>
      <x:c r="H17" s="16" t="s">
        <x:v>218</x:v>
      </x:c>
      <x:c r="I17" s="16" t="s">
        <x:v>308</x:v>
      </x:c>
      <x:c r="J17" s="16">
        <x:v>1</x:v>
      </x:c>
      <x:c r="K17" s="16"/>
      <x:c r="L17" s="16" t="s">
        <x:v>287</x:v>
      </x:c>
      <x:c r="M17" s="16" t="s">
        <x:v>288</x:v>
      </x:c>
      <x:c r="N17" s="16" t="s">
        <x:v>289</x:v>
      </x:c>
      <x:c r="O17" s="16" t="s">
        <x:v>290</x:v>
      </x:c>
      <x:c r="P17" s="16" t="s">
        <x:v>291</x:v>
      </x:c>
      <x:c r="Q17" s="16" t="s">
        <x:v>218</x:v>
      </x:c>
      <x:c r="R17" s="17" t="s">
        <x:v>218</x:v>
      </x:c>
    </x:row>
    <x:row r="18" ht="16.049999237060547" customHeight="1">
      <x:c r="A18" s="15" t="s">
        <x:v>235</x:v>
      </x:c>
      <x:c r="B18" s="16">
        <x:v>46236</x:v>
      </x:c>
      <x:c r="C18" s="16" t="s">
        <x:v>314</x:v>
      </x:c>
      <x:c r="D18" s="16" t="s">
        <x:v>127</x:v>
      </x:c>
      <x:c r="E18" s="16" t="s">
        <x:v>251</x:v>
      </x:c>
      <x:c r="F18" s="16" t="s">
        <x:v>269</x:v>
      </x:c>
      <x:c r="G18" s="16" t="s">
        <x:v>222</x:v>
      </x:c>
      <x:c r="H18" s="16" t="s">
        <x:v>219</x:v>
      </x:c>
      <x:c r="I18" s="16" t="s">
        <x:v>315</x:v>
      </x:c>
      <x:c r="J18" s="16">
        <x:v>1</x:v>
      </x:c>
      <x:c r="K18" s="16"/>
      <x:c r="L18" s="16" t="s">
        <x:v>287</x:v>
      </x:c>
      <x:c r="M18" s="16" t="s">
        <x:v>288</x:v>
      </x:c>
      <x:c r="N18" s="16" t="s">
        <x:v>289</x:v>
      </x:c>
      <x:c r="O18" s="16" t="s">
        <x:v>290</x:v>
      </x:c>
      <x:c r="P18" s="16" t="s">
        <x:v>291</x:v>
      </x:c>
      <x:c r="Q18" s="16" t="s">
        <x:v>292</x:v>
      </x:c>
      <x:c r="R18" s="17" t="s">
        <x:v>233</x:v>
      </x:c>
    </x:row>
    <x:row r="19" ht="16.049999237060547" customHeight="1">
      <x:c r="A19" s="15" t="s">
        <x:v>235</x:v>
      </x:c>
      <x:c r="B19" s="16">
        <x:v>46236</x:v>
      </x:c>
      <x:c r="C19" s="16" t="s">
        <x:v>316</x:v>
      </x:c>
      <x:c r="D19" s="16" t="s">
        <x:v>127</x:v>
      </x:c>
      <x:c r="E19" s="16" t="s">
        <x:v>251</x:v>
      </x:c>
      <x:c r="F19" s="16" t="s">
        <x:v>269</x:v>
      </x:c>
      <x:c r="G19" s="16" t="s">
        <x:v>222</x:v>
      </x:c>
      <x:c r="H19" s="16" t="s">
        <x:v>180</x:v>
      </x:c>
      <x:c r="I19" s="16" t="s">
        <x:v>315</x:v>
      </x:c>
      <x:c r="J19" s="16">
        <x:v>1</x:v>
      </x:c>
      <x:c r="K19" s="16"/>
      <x:c r="L19" s="16" t="s">
        <x:v>287</x:v>
      </x:c>
      <x:c r="M19" s="16" t="s">
        <x:v>288</x:v>
      </x:c>
      <x:c r="N19" s="16" t="s">
        <x:v>289</x:v>
      </x:c>
      <x:c r="O19" s="16" t="s">
        <x:v>290</x:v>
      </x:c>
      <x:c r="P19" s="16" t="s">
        <x:v>291</x:v>
      </x:c>
      <x:c r="Q19" s="16" t="s">
        <x:v>296</x:v>
      </x:c>
      <x:c r="R19" s="17" t="s">
        <x:v>232</x:v>
      </x:c>
    </x:row>
    <x:row r="20" ht="16.049999237060547" customHeight="1">
      <x:c r="A20" s="15" t="s">
        <x:v>235</x:v>
      </x:c>
      <x:c r="B20" s="16">
        <x:v>46236</x:v>
      </x:c>
      <x:c r="C20" s="16" t="s">
        <x:v>317</x:v>
      </x:c>
      <x:c r="D20" s="16" t="s">
        <x:v>127</x:v>
      </x:c>
      <x:c r="E20" s="16" t="s">
        <x:v>251</x:v>
      </x:c>
      <x:c r="F20" s="16" t="s">
        <x:v>269</x:v>
      </x:c>
      <x:c r="G20" s="16" t="s">
        <x:v>222</x:v>
      </x:c>
      <x:c r="H20" s="16" t="s">
        <x:v>180</x:v>
      </x:c>
      <x:c r="I20" s="16" t="s">
        <x:v>315</x:v>
      </x:c>
      <x:c r="J20" s="16">
        <x:v>1</x:v>
      </x:c>
      <x:c r="K20" s="16"/>
      <x:c r="L20" s="16" t="s">
        <x:v>287</x:v>
      </x:c>
      <x:c r="M20" s="16" t="s">
        <x:v>288</x:v>
      </x:c>
      <x:c r="N20" s="16" t="s">
        <x:v>289</x:v>
      </x:c>
      <x:c r="O20" s="16" t="s">
        <x:v>290</x:v>
      </x:c>
      <x:c r="P20" s="16" t="s">
        <x:v>291</x:v>
      </x:c>
      <x:c r="Q20" s="16" t="s">
        <x:v>296</x:v>
      </x:c>
      <x:c r="R20" s="17" t="s">
        <x:v>232</x:v>
      </x:c>
    </x:row>
    <x:row r="21" ht="16.049999237060547" customHeight="1">
      <x:c r="A21" s="15" t="s">
        <x:v>235</x:v>
      </x:c>
      <x:c r="B21" s="16">
        <x:v>46236</x:v>
      </x:c>
      <x:c r="C21" s="16" t="s">
        <x:v>318</x:v>
      </x:c>
      <x:c r="D21" s="16" t="s">
        <x:v>127</x:v>
      </x:c>
      <x:c r="E21" s="16" t="s">
        <x:v>251</x:v>
      </x:c>
      <x:c r="F21" s="16" t="s">
        <x:v>269</x:v>
      </x:c>
      <x:c r="G21" s="16" t="s">
        <x:v>222</x:v>
      </x:c>
      <x:c r="H21" s="16" t="s">
        <x:v>180</x:v>
      </x:c>
      <x:c r="I21" s="16" t="s">
        <x:v>315</x:v>
      </x:c>
      <x:c r="J21" s="16">
        <x:v>1</x:v>
      </x:c>
      <x:c r="K21" s="16"/>
      <x:c r="L21" s="16" t="s">
        <x:v>287</x:v>
      </x:c>
      <x:c r="M21" s="16" t="s">
        <x:v>288</x:v>
      </x:c>
      <x:c r="N21" s="16" t="s">
        <x:v>289</x:v>
      </x:c>
      <x:c r="O21" s="16" t="s">
        <x:v>290</x:v>
      </x:c>
      <x:c r="P21" s="16" t="s">
        <x:v>291</x:v>
      </x:c>
      <x:c r="Q21" s="16" t="s">
        <x:v>296</x:v>
      </x:c>
      <x:c r="R21" s="17" t="s">
        <x:v>232</x:v>
      </x:c>
    </x:row>
    <x:row r="22" ht="16.049999237060547" customHeight="1">
      <x:c r="A22" s="15" t="s">
        <x:v>235</x:v>
      </x:c>
      <x:c r="B22" s="16">
        <x:v>46236</x:v>
      </x:c>
      <x:c r="C22" s="16" t="s">
        <x:v>319</x:v>
      </x:c>
      <x:c r="D22" s="16" t="s">
        <x:v>127</x:v>
      </x:c>
      <x:c r="E22" s="16" t="s">
        <x:v>252</x:v>
      </x:c>
      <x:c r="F22" s="16" t="s">
        <x:v>269</x:v>
      </x:c>
      <x:c r="G22" s="16" t="s">
        <x:v>222</x:v>
      </x:c>
      <x:c r="H22" s="16" t="s">
        <x:v>180</x:v>
      </x:c>
      <x:c r="I22" s="16"/>
      <x:c r="J22" s="16">
        <x:v>1</x:v>
      </x:c>
      <x:c r="K22" s="16"/>
      <x:c r="L22" s="16" t="s">
        <x:v>287</x:v>
      </x:c>
      <x:c r="M22" s="16" t="s">
        <x:v>288</x:v>
      </x:c>
      <x:c r="N22" s="16" t="s">
        <x:v>289</x:v>
      </x:c>
      <x:c r="O22" s="16" t="s">
        <x:v>290</x:v>
      </x:c>
      <x:c r="P22" s="16" t="s">
        <x:v>291</x:v>
      </x:c>
      <x:c r="Q22" s="16" t="s">
        <x:v>296</x:v>
      </x:c>
      <x:c r="R22" s="17" t="s">
        <x:v>232</x:v>
      </x:c>
    </x:row>
    <x:row r="23" ht="16.049999237060547" customHeight="1">
      <x:c r="A23" s="15" t="s">
        <x:v>235</x:v>
      </x:c>
      <x:c r="B23" s="16">
        <x:v>46236</x:v>
      </x:c>
      <x:c r="C23" s="16" t="s">
        <x:v>320</x:v>
      </x:c>
      <x:c r="D23" s="16" t="s">
        <x:v>127</x:v>
      </x:c>
      <x:c r="E23" s="16" t="s">
        <x:v>252</x:v>
      </x:c>
      <x:c r="F23" s="16" t="s">
        <x:v>269</x:v>
      </x:c>
      <x:c r="G23" s="16" t="s">
        <x:v>222</x:v>
      </x:c>
      <x:c r="H23" s="16" t="s">
        <x:v>180</x:v>
      </x:c>
      <x:c r="I23" s="16"/>
      <x:c r="J23" s="16">
        <x:v>1</x:v>
      </x:c>
      <x:c r="K23" s="16"/>
      <x:c r="L23" s="16" t="s">
        <x:v>287</x:v>
      </x:c>
      <x:c r="M23" s="16" t="s">
        <x:v>288</x:v>
      </x:c>
      <x:c r="N23" s="16" t="s">
        <x:v>289</x:v>
      </x:c>
      <x:c r="O23" s="16" t="s">
        <x:v>290</x:v>
      </x:c>
      <x:c r="P23" s="16" t="s">
        <x:v>291</x:v>
      </x:c>
      <x:c r="Q23" s="16" t="s">
        <x:v>296</x:v>
      </x:c>
      <x:c r="R23" s="17" t="s">
        <x:v>232</x:v>
      </x:c>
    </x:row>
    <x:row r="24" ht="16.049999237060547" customHeight="1">
      <x:c r="A24" s="15" t="s">
        <x:v>235</x:v>
      </x:c>
      <x:c r="B24" s="16">
        <x:v>46236</x:v>
      </x:c>
      <x:c r="C24" s="16" t="s">
        <x:v>285</x:v>
      </x:c>
      <x:c r="D24" s="16" t="s">
        <x:v>61</x:v>
      </x:c>
      <x:c r="E24" s="16" t="s">
        <x:v>91</x:v>
      </x:c>
      <x:c r="F24" s="16" t="s">
        <x:v>270</x:v>
      </x:c>
      <x:c r="G24" s="16" t="s">
        <x:v>223</x:v>
      </x:c>
      <x:c r="H24" s="16" t="s">
        <x:v>218</x:v>
      </x:c>
      <x:c r="I24" s="16" t="s">
        <x:v>286</x:v>
      </x:c>
      <x:c r="J24" s="16">
        <x:v>1</x:v>
      </x:c>
      <x:c r="K24" s="16"/>
      <x:c r="L24" s="16" t="s">
        <x:v>287</x:v>
      </x:c>
      <x:c r="M24" s="16" t="s">
        <x:v>288</x:v>
      </x:c>
      <x:c r="N24" s="16" t="s">
        <x:v>289</x:v>
      </x:c>
      <x:c r="O24" s="16" t="s">
        <x:v>290</x:v>
      </x:c>
      <x:c r="P24" s="16" t="s">
        <x:v>291</x:v>
      </x:c>
      <x:c r="Q24" s="16" t="s">
        <x:v>218</x:v>
      </x:c>
      <x:c r="R24" s="17" t="s">
        <x:v>218</x:v>
      </x:c>
    </x:row>
    <x:row r="25" ht="16.049999237060547" customHeight="1">
      <x:c r="A25" s="15" t="s">
        <x:v>235</x:v>
      </x:c>
      <x:c r="B25" s="16">
        <x:v>46236</x:v>
      </x:c>
      <x:c r="C25" s="16" t="s">
        <x:v>321</x:v>
      </x:c>
      <x:c r="D25" s="16" t="s">
        <x:v>61</x:v>
      </x:c>
      <x:c r="E25" s="16" t="s">
        <x:v>91</x:v>
      </x:c>
      <x:c r="F25" s="16" t="s">
        <x:v>270</x:v>
      </x:c>
      <x:c r="G25" s="16" t="s">
        <x:v>223</x:v>
      </x:c>
      <x:c r="H25" s="16" t="s">
        <x:v>180</x:v>
      </x:c>
      <x:c r="I25" s="16" t="s">
        <x:v>286</x:v>
      </x:c>
      <x:c r="J25" s="16">
        <x:v>1</x:v>
      </x:c>
      <x:c r="K25" s="16"/>
      <x:c r="L25" s="16" t="s">
        <x:v>287</x:v>
      </x:c>
      <x:c r="M25" s="16" t="s">
        <x:v>288</x:v>
      </x:c>
      <x:c r="N25" s="16" t="s">
        <x:v>289</x:v>
      </x:c>
      <x:c r="O25" s="16" t="s">
        <x:v>290</x:v>
      </x:c>
      <x:c r="P25" s="16" t="s">
        <x:v>291</x:v>
      </x:c>
      <x:c r="Q25" s="16" t="s">
        <x:v>296</x:v>
      </x:c>
      <x:c r="R25" s="17" t="s">
        <x:v>232</x:v>
      </x:c>
    </x:row>
    <x:row r="26" ht="16.049999237060547" customHeight="1">
      <x:c r="A26" s="15" t="s">
        <x:v>235</x:v>
      </x:c>
      <x:c r="B26" s="16">
        <x:v>46236</x:v>
      </x:c>
      <x:c r="C26" s="16" t="s">
        <x:v>322</x:v>
      </x:c>
      <x:c r="D26" s="16" t="s">
        <x:v>61</x:v>
      </x:c>
      <x:c r="E26" s="16" t="s">
        <x:v>91</x:v>
      </x:c>
      <x:c r="F26" s="16" t="s">
        <x:v>270</x:v>
      </x:c>
      <x:c r="G26" s="16" t="s">
        <x:v>223</x:v>
      </x:c>
      <x:c r="H26" s="16" t="s">
        <x:v>180</x:v>
      </x:c>
      <x:c r="I26" s="16" t="s">
        <x:v>286</x:v>
      </x:c>
      <x:c r="J26" s="16">
        <x:v>1</x:v>
      </x:c>
      <x:c r="K26" s="16"/>
      <x:c r="L26" s="16" t="s">
        <x:v>287</x:v>
      </x:c>
      <x:c r="M26" s="16" t="s">
        <x:v>288</x:v>
      </x:c>
      <x:c r="N26" s="16" t="s">
        <x:v>289</x:v>
      </x:c>
      <x:c r="O26" s="16" t="s">
        <x:v>290</x:v>
      </x:c>
      <x:c r="P26" s="16" t="s">
        <x:v>291</x:v>
      </x:c>
      <x:c r="Q26" s="16" t="s">
        <x:v>296</x:v>
      </x:c>
      <x:c r="R26" s="17" t="s">
        <x:v>232</x:v>
      </x:c>
    </x:row>
    <x:row r="27" ht="16.049999237060547" customHeight="1">
      <x:c r="A27" s="15" t="s">
        <x:v>235</x:v>
      </x:c>
      <x:c r="B27" s="16">
        <x:v>46236</x:v>
      </x:c>
      <x:c r="C27" s="16" t="s">
        <x:v>323</x:v>
      </x:c>
      <x:c r="D27" s="16" t="s">
        <x:v>61</x:v>
      </x:c>
      <x:c r="E27" s="16" t="s">
        <x:v>91</x:v>
      </x:c>
      <x:c r="F27" s="16" t="s">
        <x:v>270</x:v>
      </x:c>
      <x:c r="G27" s="16" t="s">
        <x:v>223</x:v>
      </x:c>
      <x:c r="H27" s="16" t="s">
        <x:v>180</x:v>
      </x:c>
      <x:c r="I27" s="16" t="s">
        <x:v>286</x:v>
      </x:c>
      <x:c r="J27" s="16">
        <x:v>1</x:v>
      </x:c>
      <x:c r="K27" s="16"/>
      <x:c r="L27" s="16" t="s">
        <x:v>287</x:v>
      </x:c>
      <x:c r="M27" s="16" t="s">
        <x:v>288</x:v>
      </x:c>
      <x:c r="N27" s="16" t="s">
        <x:v>289</x:v>
      </x:c>
      <x:c r="O27" s="16" t="s">
        <x:v>290</x:v>
      </x:c>
      <x:c r="P27" s="16" t="s">
        <x:v>291</x:v>
      </x:c>
      <x:c r="Q27" s="16" t="s">
        <x:v>296</x:v>
      </x:c>
      <x:c r="R27" s="17" t="s">
        <x:v>232</x:v>
      </x:c>
    </x:row>
    <x:row r="28" ht="16.049999237060547" customHeight="1">
      <x:c r="A28" s="15" t="s">
        <x:v>235</x:v>
      </x:c>
      <x:c r="B28" s="16">
        <x:v>46236</x:v>
      </x:c>
      <x:c r="C28" s="16" t="s">
        <x:v>324</x:v>
      </x:c>
      <x:c r="D28" s="16" t="s">
        <x:v>61</x:v>
      </x:c>
      <x:c r="E28" s="16" t="s">
        <x:v>91</x:v>
      </x:c>
      <x:c r="F28" s="16" t="s">
        <x:v>270</x:v>
      </x:c>
      <x:c r="G28" s="16" t="s">
        <x:v>223</x:v>
      </x:c>
      <x:c r="H28" s="16" t="s">
        <x:v>180</x:v>
      </x:c>
      <x:c r="I28" s="16" t="s">
        <x:v>286</x:v>
      </x:c>
      <x:c r="J28" s="16">
        <x:v>1</x:v>
      </x:c>
      <x:c r="K28" s="16"/>
      <x:c r="L28" s="16" t="s">
        <x:v>287</x:v>
      </x:c>
      <x:c r="M28" s="16" t="s">
        <x:v>288</x:v>
      </x:c>
      <x:c r="N28" s="16" t="s">
        <x:v>289</x:v>
      </x:c>
      <x:c r="O28" s="16" t="s">
        <x:v>290</x:v>
      </x:c>
      <x:c r="P28" s="16" t="s">
        <x:v>291</x:v>
      </x:c>
      <x:c r="Q28" s="16" t="s">
        <x:v>296</x:v>
      </x:c>
      <x:c r="R28" s="17" t="s">
        <x:v>232</x:v>
      </x:c>
    </x:row>
    <x:row r="29" ht="16.049999237060547" customHeight="1">
      <x:c r="A29" s="15" t="s">
        <x:v>235</x:v>
      </x:c>
      <x:c r="B29" s="16">
        <x:v>46236</x:v>
      </x:c>
      <x:c r="C29" s="16" t="s">
        <x:v>293</x:v>
      </x:c>
      <x:c r="D29" s="16" t="s">
        <x:v>61</x:v>
      </x:c>
      <x:c r="E29" s="16" t="s">
        <x:v>91</x:v>
      </x:c>
      <x:c r="F29" s="16" t="s">
        <x:v>270</x:v>
      </x:c>
      <x:c r="G29" s="16" t="s">
        <x:v>222</x:v>
      </x:c>
      <x:c r="H29" s="16" t="s">
        <x:v>219</x:v>
      </x:c>
      <x:c r="I29" s="16" t="s">
        <x:v>294</x:v>
      </x:c>
      <x:c r="J29" s="16">
        <x:v>1</x:v>
      </x:c>
      <x:c r="K29" s="16" t="s">
        <x:v>295</x:v>
      </x:c>
      <x:c r="L29" s="16" t="s">
        <x:v>287</x:v>
      </x:c>
      <x:c r="M29" s="16" t="s">
        <x:v>288</x:v>
      </x:c>
      <x:c r="N29" s="16" t="s">
        <x:v>289</x:v>
      </x:c>
      <x:c r="O29" s="16" t="s">
        <x:v>290</x:v>
      </x:c>
      <x:c r="P29" s="16" t="s">
        <x:v>291</x:v>
      </x:c>
      <x:c r="Q29" s="16" t="s">
        <x:v>292</x:v>
      </x:c>
      <x:c r="R29" s="17" t="s">
        <x:v>233</x:v>
      </x:c>
    </x:row>
    <x:row r="30" ht="16.049999237060547" customHeight="1">
      <x:c r="A30" s="15" t="s">
        <x:v>235</x:v>
      </x:c>
      <x:c r="B30" s="16">
        <x:v>46236</x:v>
      </x:c>
      <x:c r="C30" s="16" t="s">
        <x:v>325</x:v>
      </x:c>
      <x:c r="D30" s="16" t="s">
        <x:v>61</x:v>
      </x:c>
      <x:c r="E30" s="16" t="s">
        <x:v>91</x:v>
      </x:c>
      <x:c r="F30" s="16" t="s">
        <x:v>270</x:v>
      </x:c>
      <x:c r="G30" s="16" t="s">
        <x:v>222</x:v>
      </x:c>
      <x:c r="H30" s="16" t="s">
        <x:v>180</x:v>
      </x:c>
      <x:c r="I30" s="16" t="s">
        <x:v>294</x:v>
      </x:c>
      <x:c r="J30" s="16">
        <x:v>1</x:v>
      </x:c>
      <x:c r="K30" s="16" t="s">
        <x:v>295</x:v>
      </x:c>
      <x:c r="L30" s="16" t="s">
        <x:v>287</x:v>
      </x:c>
      <x:c r="M30" s="16" t="s">
        <x:v>288</x:v>
      </x:c>
      <x:c r="N30" s="16" t="s">
        <x:v>289</x:v>
      </x:c>
      <x:c r="O30" s="16" t="s">
        <x:v>290</x:v>
      </x:c>
      <x:c r="P30" s="16" t="s">
        <x:v>291</x:v>
      </x:c>
      <x:c r="Q30" s="16" t="s">
        <x:v>296</x:v>
      </x:c>
      <x:c r="R30" s="17" t="s">
        <x:v>232</x:v>
      </x:c>
    </x:row>
    <x:row r="31" ht="16.049999237060547" customHeight="1">
      <x:c r="A31" s="15" t="s">
        <x:v>235</x:v>
      </x:c>
      <x:c r="B31" s="16">
        <x:v>46236</x:v>
      </x:c>
      <x:c r="C31" s="16" t="s">
        <x:v>326</x:v>
      </x:c>
      <x:c r="D31" s="16" t="s">
        <x:v>61</x:v>
      </x:c>
      <x:c r="E31" s="16" t="s">
        <x:v>91</x:v>
      </x:c>
      <x:c r="F31" s="16" t="s">
        <x:v>270</x:v>
      </x:c>
      <x:c r="G31" s="16" t="s">
        <x:v>222</x:v>
      </x:c>
      <x:c r="H31" s="16" t="s">
        <x:v>218</x:v>
      </x:c>
      <x:c r="I31" s="16" t="s">
        <x:v>294</x:v>
      </x:c>
      <x:c r="J31" s="16">
        <x:v>1</x:v>
      </x:c>
      <x:c r="K31" s="16" t="s">
        <x:v>295</x:v>
      </x:c>
      <x:c r="L31" s="16" t="s">
        <x:v>287</x:v>
      </x:c>
      <x:c r="M31" s="16" t="s">
        <x:v>288</x:v>
      </x:c>
      <x:c r="N31" s="16" t="s">
        <x:v>289</x:v>
      </x:c>
      <x:c r="O31" s="16" t="s">
        <x:v>290</x:v>
      </x:c>
      <x:c r="P31" s="16" t="s">
        <x:v>291</x:v>
      </x:c>
      <x:c r="Q31" s="16" t="s">
        <x:v>218</x:v>
      </x:c>
      <x:c r="R31" s="17" t="s">
        <x:v>218</x:v>
      </x:c>
    </x:row>
    <x:row r="32" ht="16.049999237060547" customHeight="1">
      <x:c r="A32" s="15" t="s">
        <x:v>235</x:v>
      </x:c>
      <x:c r="B32" s="16">
        <x:v>46236</x:v>
      </x:c>
      <x:c r="C32" s="16" t="s">
        <x:v>327</x:v>
      </x:c>
      <x:c r="D32" s="16" t="s">
        <x:v>61</x:v>
      </x:c>
      <x:c r="E32" s="16" t="s">
        <x:v>91</x:v>
      </x:c>
      <x:c r="F32" s="16" t="s">
        <x:v>270</x:v>
      </x:c>
      <x:c r="G32" s="16" t="s">
        <x:v>222</x:v>
      </x:c>
      <x:c r="H32" s="16" t="s">
        <x:v>180</x:v>
      </x:c>
      <x:c r="I32" s="16" t="s">
        <x:v>294</x:v>
      </x:c>
      <x:c r="J32" s="16">
        <x:v>1</x:v>
      </x:c>
      <x:c r="K32" s="16" t="s">
        <x:v>295</x:v>
      </x:c>
      <x:c r="L32" s="16" t="s">
        <x:v>287</x:v>
      </x:c>
      <x:c r="M32" s="16" t="s">
        <x:v>288</x:v>
      </x:c>
      <x:c r="N32" s="16" t="s">
        <x:v>289</x:v>
      </x:c>
      <x:c r="O32" s="16" t="s">
        <x:v>290</x:v>
      </x:c>
      <x:c r="P32" s="16" t="s">
        <x:v>291</x:v>
      </x:c>
      <x:c r="Q32" s="16" t="s">
        <x:v>296</x:v>
      </x:c>
      <x:c r="R32" s="17" t="s">
        <x:v>232</x:v>
      </x:c>
    </x:row>
    <x:row r="33" ht="16.049999237060547" customHeight="1">
      <x:c r="A33" s="15" t="s">
        <x:v>235</x:v>
      </x:c>
      <x:c r="B33" s="16">
        <x:v>46236</x:v>
      </x:c>
      <x:c r="C33" s="16" t="s">
        <x:v>328</x:v>
      </x:c>
      <x:c r="D33" s="16" t="s">
        <x:v>61</x:v>
      </x:c>
      <x:c r="E33" s="16" t="s">
        <x:v>91</x:v>
      </x:c>
      <x:c r="F33" s="16" t="s">
        <x:v>270</x:v>
      </x:c>
      <x:c r="G33" s="16" t="s">
        <x:v>222</x:v>
      </x:c>
      <x:c r="H33" s="16" t="s">
        <x:v>180</x:v>
      </x:c>
      <x:c r="I33" s="16" t="s">
        <x:v>294</x:v>
      </x:c>
      <x:c r="J33" s="16">
        <x:v>1</x:v>
      </x:c>
      <x:c r="K33" s="16" t="s">
        <x:v>295</x:v>
      </x:c>
      <x:c r="L33" s="16" t="s">
        <x:v>287</x:v>
      </x:c>
      <x:c r="M33" s="16" t="s">
        <x:v>288</x:v>
      </x:c>
      <x:c r="N33" s="16" t="s">
        <x:v>289</x:v>
      </x:c>
      <x:c r="O33" s="16" t="s">
        <x:v>290</x:v>
      </x:c>
      <x:c r="P33" s="16" t="s">
        <x:v>291</x:v>
      </x:c>
      <x:c r="Q33" s="16" t="s">
        <x:v>296</x:v>
      </x:c>
      <x:c r="R33" s="17" t="s">
        <x:v>232</x:v>
      </x:c>
    </x:row>
    <x:row r="34" ht="16.049999237060547" customHeight="1">
      <x:c r="A34" s="15" t="s">
        <x:v>235</x:v>
      </x:c>
      <x:c r="B34" s="16">
        <x:v>46236</x:v>
      </x:c>
      <x:c r="C34" s="16" t="s">
        <x:v>297</x:v>
      </x:c>
      <x:c r="D34" s="16" t="s">
        <x:v>61</x:v>
      </x:c>
      <x:c r="E34" s="16" t="s">
        <x:v>91</x:v>
      </x:c>
      <x:c r="F34" s="16" t="s">
        <x:v>270</x:v>
      </x:c>
      <x:c r="G34" s="16" t="s">
        <x:v>222</x:v>
      </x:c>
      <x:c r="H34" s="16" t="s">
        <x:v>218</x:v>
      </x:c>
      <x:c r="I34" s="16" t="s">
        <x:v>298</x:v>
      </x:c>
      <x:c r="J34" s="16">
        <x:v>1</x:v>
      </x:c>
      <x:c r="K34" s="16"/>
      <x:c r="L34" s="16" t="s">
        <x:v>287</x:v>
      </x:c>
      <x:c r="M34" s="16" t="s">
        <x:v>288</x:v>
      </x:c>
      <x:c r="N34" s="16" t="s">
        <x:v>289</x:v>
      </x:c>
      <x:c r="O34" s="16" t="s">
        <x:v>290</x:v>
      </x:c>
      <x:c r="P34" s="16" t="s">
        <x:v>291</x:v>
      </x:c>
      <x:c r="Q34" s="16" t="s">
        <x:v>218</x:v>
      </x:c>
      <x:c r="R34" s="17" t="s">
        <x:v>218</x:v>
      </x:c>
    </x:row>
    <x:row r="35" ht="16.049999237060547" customHeight="1">
      <x:c r="A35" s="15" t="s">
        <x:v>235</x:v>
      </x:c>
      <x:c r="B35" s="16">
        <x:v>46236</x:v>
      </x:c>
      <x:c r="C35" s="16" t="s">
        <x:v>329</x:v>
      </x:c>
      <x:c r="D35" s="16" t="s">
        <x:v>61</x:v>
      </x:c>
      <x:c r="E35" s="16" t="s">
        <x:v>63</x:v>
      </x:c>
      <x:c r="F35" s="16" t="s">
        <x:v>270</x:v>
      </x:c>
      <x:c r="G35" s="16" t="s">
        <x:v>222</x:v>
      </x:c>
      <x:c r="H35" s="16" t="s">
        <x:v>180</x:v>
      </x:c>
      <x:c r="I35" s="16" t="s">
        <x:v>330</x:v>
      </x:c>
      <x:c r="J35" s="16">
        <x:v>1</x:v>
      </x:c>
      <x:c r="K35" s="16"/>
      <x:c r="L35" s="16" t="s">
        <x:v>287</x:v>
      </x:c>
      <x:c r="M35" s="16" t="s">
        <x:v>288</x:v>
      </x:c>
      <x:c r="N35" s="16" t="s">
        <x:v>289</x:v>
      </x:c>
      <x:c r="O35" s="16" t="s">
        <x:v>290</x:v>
      </x:c>
      <x:c r="P35" s="16" t="s">
        <x:v>291</x:v>
      </x:c>
      <x:c r="Q35" s="16" t="s">
        <x:v>296</x:v>
      </x:c>
      <x:c r="R35" s="17" t="s">
        <x:v>232</x:v>
      </x:c>
    </x:row>
    <x:row r="36" ht="16.049999237060547" customHeight="1">
      <x:c r="A36" s="15" t="s">
        <x:v>235</x:v>
      </x:c>
      <x:c r="B36" s="16">
        <x:v>46236</x:v>
      </x:c>
      <x:c r="C36" s="16" t="s">
        <x:v>299</x:v>
      </x:c>
      <x:c r="D36" s="16" t="s">
        <x:v>61</x:v>
      </x:c>
      <x:c r="E36" s="16" t="s">
        <x:v>83</x:v>
      </x:c>
      <x:c r="F36" s="16" t="s">
        <x:v>270</x:v>
      </x:c>
      <x:c r="G36" s="16" t="s">
        <x:v>222</x:v>
      </x:c>
      <x:c r="H36" s="16" t="s">
        <x:v>180</x:v>
      </x:c>
      <x:c r="I36" s="16" t="s">
        <x:v>300</x:v>
      </x:c>
      <x:c r="J36" s="16">
        <x:v>1</x:v>
      </x:c>
      <x:c r="K36" s="16"/>
      <x:c r="L36" s="16" t="s">
        <x:v>287</x:v>
      </x:c>
      <x:c r="M36" s="16" t="s">
        <x:v>288</x:v>
      </x:c>
      <x:c r="N36" s="16" t="s">
        <x:v>289</x:v>
      </x:c>
      <x:c r="O36" s="16" t="s">
        <x:v>290</x:v>
      </x:c>
      <x:c r="P36" s="16" t="s">
        <x:v>291</x:v>
      </x:c>
      <x:c r="Q36" s="16" t="s">
        <x:v>296</x:v>
      </x:c>
      <x:c r="R36" s="17" t="s">
        <x:v>232</x:v>
      </x:c>
    </x:row>
    <x:row r="37" ht="16.049999237060547" customHeight="1">
      <x:c r="A37" s="15" t="s">
        <x:v>235</x:v>
      </x:c>
      <x:c r="B37" s="16">
        <x:v>46236</x:v>
      </x:c>
      <x:c r="C37" s="16" t="s">
        <x:v>301</x:v>
      </x:c>
      <x:c r="D37" s="16" t="s">
        <x:v>61</x:v>
      </x:c>
      <x:c r="E37" s="16" t="s">
        <x:v>83</x:v>
      </x:c>
      <x:c r="F37" s="16" t="s">
        <x:v>270</x:v>
      </x:c>
      <x:c r="G37" s="16" t="s">
        <x:v>222</x:v>
      </x:c>
      <x:c r="H37" s="16" t="s">
        <x:v>180</x:v>
      </x:c>
      <x:c r="I37" s="16" t="s">
        <x:v>300</x:v>
      </x:c>
      <x:c r="J37" s="16">
        <x:v>1</x:v>
      </x:c>
      <x:c r="K37" s="16"/>
      <x:c r="L37" s="16" t="s">
        <x:v>287</x:v>
      </x:c>
      <x:c r="M37" s="16" t="s">
        <x:v>288</x:v>
      </x:c>
      <x:c r="N37" s="16" t="s">
        <x:v>289</x:v>
      </x:c>
      <x:c r="O37" s="16" t="s">
        <x:v>290</x:v>
      </x:c>
      <x:c r="P37" s="16" t="s">
        <x:v>291</x:v>
      </x:c>
      <x:c r="Q37" s="16" t="s">
        <x:v>296</x:v>
      </x:c>
      <x:c r="R37" s="17" t="s">
        <x:v>232</x:v>
      </x:c>
    </x:row>
    <x:row r="38" ht="16.049999237060547" customHeight="1">
      <x:c r="A38" s="15" t="s">
        <x:v>235</x:v>
      </x:c>
      <x:c r="B38" s="16">
        <x:v>46236</x:v>
      </x:c>
      <x:c r="C38" s="16" t="s">
        <x:v>302</x:v>
      </x:c>
      <x:c r="D38" s="16" t="s">
        <x:v>127</x:v>
      </x:c>
      <x:c r="E38" s="16" t="s">
        <x:v>91</x:v>
      </x:c>
      <x:c r="F38" s="16" t="s">
        <x:v>270</x:v>
      </x:c>
      <x:c r="G38" s="16" t="s">
        <x:v>222</x:v>
      </x:c>
      <x:c r="H38" s="16" t="s">
        <x:v>218</x:v>
      </x:c>
      <x:c r="I38" s="16" t="s">
        <x:v>303</x:v>
      </x:c>
      <x:c r="J38" s="16">
        <x:v>1</x:v>
      </x:c>
      <x:c r="K38" s="16"/>
      <x:c r="L38" s="16" t="s">
        <x:v>287</x:v>
      </x:c>
      <x:c r="M38" s="16" t="s">
        <x:v>288</x:v>
      </x:c>
      <x:c r="N38" s="16" t="s">
        <x:v>289</x:v>
      </x:c>
      <x:c r="O38" s="16" t="s">
        <x:v>290</x:v>
      </x:c>
      <x:c r="P38" s="16" t="s">
        <x:v>291</x:v>
      </x:c>
      <x:c r="Q38" s="16" t="s">
        <x:v>218</x:v>
      </x:c>
      <x:c r="R38" s="17" t="s">
        <x:v>218</x:v>
      </x:c>
    </x:row>
    <x:row r="39" ht="16.049999237060547" customHeight="1">
      <x:c r="A39" s="15" t="s">
        <x:v>235</x:v>
      </x:c>
      <x:c r="B39" s="16">
        <x:v>46236</x:v>
      </x:c>
      <x:c r="C39" s="16" t="s">
        <x:v>304</x:v>
      </x:c>
      <x:c r="D39" s="16" t="s">
        <x:v>127</x:v>
      </x:c>
      <x:c r="E39" s="16" t="s">
        <x:v>91</x:v>
      </x:c>
      <x:c r="F39" s="16" t="s">
        <x:v>270</x:v>
      </x:c>
      <x:c r="G39" s="16" t="s">
        <x:v>222</x:v>
      </x:c>
      <x:c r="H39" s="16" t="s">
        <x:v>180</x:v>
      </x:c>
      <x:c r="I39" s="16" t="s">
        <x:v>305</x:v>
      </x:c>
      <x:c r="J39" s="16">
        <x:v>1</x:v>
      </x:c>
      <x:c r="K39" s="16"/>
      <x:c r="L39" s="16" t="s">
        <x:v>287</x:v>
      </x:c>
      <x:c r="M39" s="16" t="s">
        <x:v>288</x:v>
      </x:c>
      <x:c r="N39" s="16" t="s">
        <x:v>289</x:v>
      </x:c>
      <x:c r="O39" s="16" t="s">
        <x:v>290</x:v>
      </x:c>
      <x:c r="P39" s="16" t="s">
        <x:v>291</x:v>
      </x:c>
      <x:c r="Q39" s="16" t="s">
        <x:v>296</x:v>
      </x:c>
      <x:c r="R39" s="17" t="s">
        <x:v>232</x:v>
      </x:c>
    </x:row>
    <x:row r="40" ht="16.049999237060547" customHeight="1">
      <x:c r="A40" s="15" t="s">
        <x:v>235</x:v>
      </x:c>
      <x:c r="B40" s="16">
        <x:v>46236</x:v>
      </x:c>
      <x:c r="C40" s="16" t="s">
        <x:v>306</x:v>
      </x:c>
      <x:c r="D40" s="16" t="s">
        <x:v>127</x:v>
      </x:c>
      <x:c r="E40" s="16" t="s">
        <x:v>91</x:v>
      </x:c>
      <x:c r="F40" s="16" t="s">
        <x:v>270</x:v>
      </x:c>
      <x:c r="G40" s="16" t="s">
        <x:v>222</x:v>
      </x:c>
      <x:c r="H40" s="16" t="s">
        <x:v>219</x:v>
      </x:c>
      <x:c r="I40" s="16" t="s">
        <x:v>305</x:v>
      </x:c>
      <x:c r="J40" s="16">
        <x:v>1</x:v>
      </x:c>
      <x:c r="K40" s="16"/>
      <x:c r="L40" s="16" t="s">
        <x:v>287</x:v>
      </x:c>
      <x:c r="M40" s="16" t="s">
        <x:v>288</x:v>
      </x:c>
      <x:c r="N40" s="16" t="s">
        <x:v>289</x:v>
      </x:c>
      <x:c r="O40" s="16" t="s">
        <x:v>290</x:v>
      </x:c>
      <x:c r="P40" s="16" t="s">
        <x:v>291</x:v>
      </x:c>
      <x:c r="Q40" s="16" t="s">
        <x:v>292</x:v>
      </x:c>
      <x:c r="R40" s="17" t="s">
        <x:v>233</x:v>
      </x:c>
    </x:row>
    <x:row r="41" ht="16.049999237060547" customHeight="1">
      <x:c r="A41" s="15" t="s">
        <x:v>235</x:v>
      </x:c>
      <x:c r="B41" s="16">
        <x:v>46236</x:v>
      </x:c>
      <x:c r="C41" s="16" t="s">
        <x:v>307</x:v>
      </x:c>
      <x:c r="D41" s="16" t="s">
        <x:v>127</x:v>
      </x:c>
      <x:c r="E41" s="16" t="s">
        <x:v>91</x:v>
      </x:c>
      <x:c r="F41" s="16" t="s">
        <x:v>270</x:v>
      </x:c>
      <x:c r="G41" s="16" t="s">
        <x:v>222</x:v>
      </x:c>
      <x:c r="H41" s="16" t="s">
        <x:v>180</x:v>
      </x:c>
      <x:c r="I41" s="16" t="s">
        <x:v>308</x:v>
      </x:c>
      <x:c r="J41" s="16">
        <x:v>1</x:v>
      </x:c>
      <x:c r="K41" s="16"/>
      <x:c r="L41" s="16" t="s">
        <x:v>287</x:v>
      </x:c>
      <x:c r="M41" s="16" t="s">
        <x:v>288</x:v>
      </x:c>
      <x:c r="N41" s="16" t="s">
        <x:v>289</x:v>
      </x:c>
      <x:c r="O41" s="16" t="s">
        <x:v>290</x:v>
      </x:c>
      <x:c r="P41" s="16" t="s">
        <x:v>291</x:v>
      </x:c>
      <x:c r="Q41" s="16" t="s">
        <x:v>296</x:v>
      </x:c>
      <x:c r="R41" s="17" t="s">
        <x:v>232</x:v>
      </x:c>
    </x:row>
    <x:row r="42" ht="16.049999237060547" customHeight="1">
      <x:c r="A42" s="15" t="s">
        <x:v>235</x:v>
      </x:c>
      <x:c r="B42" s="16">
        <x:v>46236</x:v>
      </x:c>
      <x:c r="C42" s="16" t="s">
        <x:v>309</x:v>
      </x:c>
      <x:c r="D42" s="16" t="s">
        <x:v>127</x:v>
      </x:c>
      <x:c r="E42" s="16" t="s">
        <x:v>91</x:v>
      </x:c>
      <x:c r="F42" s="16" t="s">
        <x:v>270</x:v>
      </x:c>
      <x:c r="G42" s="16" t="s">
        <x:v>222</x:v>
      </x:c>
      <x:c r="H42" s="16" t="s">
        <x:v>180</x:v>
      </x:c>
      <x:c r="I42" s="16" t="s">
        <x:v>308</x:v>
      </x:c>
      <x:c r="J42" s="16">
        <x:v>1</x:v>
      </x:c>
      <x:c r="K42" s="16"/>
      <x:c r="L42" s="16" t="s">
        <x:v>287</x:v>
      </x:c>
      <x:c r="M42" s="16" t="s">
        <x:v>288</x:v>
      </x:c>
      <x:c r="N42" s="16" t="s">
        <x:v>289</x:v>
      </x:c>
      <x:c r="O42" s="16" t="s">
        <x:v>290</x:v>
      </x:c>
      <x:c r="P42" s="16" t="s">
        <x:v>291</x:v>
      </x:c>
      <x:c r="Q42" s="16" t="s">
        <x:v>296</x:v>
      </x:c>
      <x:c r="R42" s="17" t="s">
        <x:v>232</x:v>
      </x:c>
    </x:row>
    <x:row r="43" ht="16.049999237060547" customHeight="1">
      <x:c r="A43" s="15" t="s">
        <x:v>235</x:v>
      </x:c>
      <x:c r="B43" s="16">
        <x:v>46236</x:v>
      </x:c>
      <x:c r="C43" s="16" t="s">
        <x:v>310</x:v>
      </x:c>
      <x:c r="D43" s="16" t="s">
        <x:v>127</x:v>
      </x:c>
      <x:c r="E43" s="16" t="s">
        <x:v>91</x:v>
      </x:c>
      <x:c r="F43" s="16" t="s">
        <x:v>270</x:v>
      </x:c>
      <x:c r="G43" s="16" t="s">
        <x:v>222</x:v>
      </x:c>
      <x:c r="H43" s="16" t="s">
        <x:v>180</x:v>
      </x:c>
      <x:c r="I43" s="16" t="s">
        <x:v>311</x:v>
      </x:c>
      <x:c r="J43" s="16">
        <x:v>1</x:v>
      </x:c>
      <x:c r="K43" s="16"/>
      <x:c r="L43" s="16" t="s">
        <x:v>287</x:v>
      </x:c>
      <x:c r="M43" s="16" t="s">
        <x:v>288</x:v>
      </x:c>
      <x:c r="N43" s="16" t="s">
        <x:v>289</x:v>
      </x:c>
      <x:c r="O43" s="16" t="s">
        <x:v>290</x:v>
      </x:c>
      <x:c r="P43" s="16" t="s">
        <x:v>291</x:v>
      </x:c>
      <x:c r="Q43" s="16" t="s">
        <x:v>296</x:v>
      </x:c>
      <x:c r="R43" s="17" t="s">
        <x:v>232</x:v>
      </x:c>
    </x:row>
    <x:row r="44" ht="16.049999237060547" customHeight="1">
      <x:c r="A44" s="15" t="s">
        <x:v>235</x:v>
      </x:c>
      <x:c r="B44" s="16">
        <x:v>46236</x:v>
      </x:c>
      <x:c r="C44" s="16" t="s">
        <x:v>312</x:v>
      </x:c>
      <x:c r="D44" s="16" t="s">
        <x:v>127</x:v>
      </x:c>
      <x:c r="E44" s="16" t="s">
        <x:v>91</x:v>
      </x:c>
      <x:c r="F44" s="16" t="s">
        <x:v>270</x:v>
      </x:c>
      <x:c r="G44" s="16" t="s">
        <x:v>222</x:v>
      </x:c>
      <x:c r="H44" s="16" t="s">
        <x:v>219</x:v>
      </x:c>
      <x:c r="I44" s="16" t="s">
        <x:v>305</x:v>
      </x:c>
      <x:c r="J44" s="16">
        <x:v>1</x:v>
      </x:c>
      <x:c r="K44" s="16"/>
      <x:c r="L44" s="16" t="s">
        <x:v>287</x:v>
      </x:c>
      <x:c r="M44" s="16" t="s">
        <x:v>288</x:v>
      </x:c>
      <x:c r="N44" s="16" t="s">
        <x:v>289</x:v>
      </x:c>
      <x:c r="O44" s="16" t="s">
        <x:v>290</x:v>
      </x:c>
      <x:c r="P44" s="16" t="s">
        <x:v>291</x:v>
      </x:c>
      <x:c r="Q44" s="16" t="s">
        <x:v>292</x:v>
      </x:c>
      <x:c r="R44" s="17" t="s">
        <x:v>233</x:v>
      </x:c>
    </x:row>
    <x:row r="45" ht="16.049999237060547" customHeight="1">
      <x:c r="A45" s="15" t="s">
        <x:v>235</x:v>
      </x:c>
      <x:c r="B45" s="16">
        <x:v>46236</x:v>
      </x:c>
      <x:c r="C45" s="16" t="s">
        <x:v>313</x:v>
      </x:c>
      <x:c r="D45" s="16" t="s">
        <x:v>127</x:v>
      </x:c>
      <x:c r="E45" s="16" t="s">
        <x:v>153</x:v>
      </x:c>
      <x:c r="F45" s="16" t="s">
        <x:v>270</x:v>
      </x:c>
      <x:c r="G45" s="16" t="s">
        <x:v>222</x:v>
      </x:c>
      <x:c r="H45" s="16" t="s">
        <x:v>218</x:v>
      </x:c>
      <x:c r="I45" s="16" t="s">
        <x:v>308</x:v>
      </x:c>
      <x:c r="J45" s="16">
        <x:v>1</x:v>
      </x:c>
      <x:c r="K45" s="16"/>
      <x:c r="L45" s="16" t="s">
        <x:v>287</x:v>
      </x:c>
      <x:c r="M45" s="16" t="s">
        <x:v>288</x:v>
      </x:c>
      <x:c r="N45" s="16" t="s">
        <x:v>289</x:v>
      </x:c>
      <x:c r="O45" s="16" t="s">
        <x:v>290</x:v>
      </x:c>
      <x:c r="P45" s="16" t="s">
        <x:v>291</x:v>
      </x:c>
      <x:c r="Q45" s="16" t="s">
        <x:v>218</x:v>
      </x:c>
      <x:c r="R45" s="17" t="s">
        <x:v>218</x:v>
      </x:c>
    </x:row>
    <x:row r="46" ht="16.049999237060547" customHeight="1">
      <x:c r="A46" s="15" t="s">
        <x:v>235</x:v>
      </x:c>
      <x:c r="B46" s="16">
        <x:v>46236</x:v>
      </x:c>
      <x:c r="C46" s="16" t="s">
        <x:v>314</x:v>
      </x:c>
      <x:c r="D46" s="16" t="s">
        <x:v>127</x:v>
      </x:c>
      <x:c r="E46" s="16" t="s">
        <x:v>251</x:v>
      </x:c>
      <x:c r="F46" s="16" t="s">
        <x:v>270</x:v>
      </x:c>
      <x:c r="G46" s="16" t="s">
        <x:v>222</x:v>
      </x:c>
      <x:c r="H46" s="16" t="s">
        <x:v>180</x:v>
      </x:c>
      <x:c r="I46" s="16" t="s">
        <x:v>315</x:v>
      </x:c>
      <x:c r="J46" s="16">
        <x:v>1</x:v>
      </x:c>
      <x:c r="K46" s="16"/>
      <x:c r="L46" s="16" t="s">
        <x:v>287</x:v>
      </x:c>
      <x:c r="M46" s="16" t="s">
        <x:v>288</x:v>
      </x:c>
      <x:c r="N46" s="16" t="s">
        <x:v>289</x:v>
      </x:c>
      <x:c r="O46" s="16" t="s">
        <x:v>290</x:v>
      </x:c>
      <x:c r="P46" s="16" t="s">
        <x:v>291</x:v>
      </x:c>
      <x:c r="Q46" s="16" t="s">
        <x:v>296</x:v>
      </x:c>
      <x:c r="R46" s="17" t="s">
        <x:v>232</x:v>
      </x:c>
    </x:row>
    <x:row r="47" ht="16.049999237060547" customHeight="1">
      <x:c r="A47" s="15" t="s">
        <x:v>235</x:v>
      </x:c>
      <x:c r="B47" s="16">
        <x:v>46236</x:v>
      </x:c>
      <x:c r="C47" s="16" t="s">
        <x:v>316</x:v>
      </x:c>
      <x:c r="D47" s="16" t="s">
        <x:v>127</x:v>
      </x:c>
      <x:c r="E47" s="16" t="s">
        <x:v>251</x:v>
      </x:c>
      <x:c r="F47" s="16" t="s">
        <x:v>270</x:v>
      </x:c>
      <x:c r="G47" s="16" t="s">
        <x:v>222</x:v>
      </x:c>
      <x:c r="H47" s="16" t="s">
        <x:v>180</x:v>
      </x:c>
      <x:c r="I47" s="16" t="s">
        <x:v>315</x:v>
      </x:c>
      <x:c r="J47" s="16">
        <x:v>1</x:v>
      </x:c>
      <x:c r="K47" s="16"/>
      <x:c r="L47" s="16" t="s">
        <x:v>287</x:v>
      </x:c>
      <x:c r="M47" s="16" t="s">
        <x:v>288</x:v>
      </x:c>
      <x:c r="N47" s="16" t="s">
        <x:v>289</x:v>
      </x:c>
      <x:c r="O47" s="16" t="s">
        <x:v>290</x:v>
      </x:c>
      <x:c r="P47" s="16" t="s">
        <x:v>291</x:v>
      </x:c>
      <x:c r="Q47" s="16" t="s">
        <x:v>296</x:v>
      </x:c>
      <x:c r="R47" s="17" t="s">
        <x:v>232</x:v>
      </x:c>
    </x:row>
    <x:row r="48" ht="16.049999237060547" customHeight="1">
      <x:c r="A48" s="15" t="s">
        <x:v>235</x:v>
      </x:c>
      <x:c r="B48" s="16">
        <x:v>46236</x:v>
      </x:c>
      <x:c r="C48" s="16" t="s">
        <x:v>317</x:v>
      </x:c>
      <x:c r="D48" s="16" t="s">
        <x:v>127</x:v>
      </x:c>
      <x:c r="E48" s="16" t="s">
        <x:v>251</x:v>
      </x:c>
      <x:c r="F48" s="16" t="s">
        <x:v>270</x:v>
      </x:c>
      <x:c r="G48" s="16" t="s">
        <x:v>222</x:v>
      </x:c>
      <x:c r="H48" s="16" t="s">
        <x:v>180</x:v>
      </x:c>
      <x:c r="I48" s="16" t="s">
        <x:v>315</x:v>
      </x:c>
      <x:c r="J48" s="16">
        <x:v>1</x:v>
      </x:c>
      <x:c r="K48" s="16"/>
      <x:c r="L48" s="16" t="s">
        <x:v>287</x:v>
      </x:c>
      <x:c r="M48" s="16" t="s">
        <x:v>288</x:v>
      </x:c>
      <x:c r="N48" s="16" t="s">
        <x:v>289</x:v>
      </x:c>
      <x:c r="O48" s="16" t="s">
        <x:v>290</x:v>
      </x:c>
      <x:c r="P48" s="16" t="s">
        <x:v>291</x:v>
      </x:c>
      <x:c r="Q48" s="16" t="s">
        <x:v>296</x:v>
      </x:c>
      <x:c r="R48" s="17" t="s">
        <x:v>232</x:v>
      </x:c>
    </x:row>
    <x:row r="49" ht="16.049999237060547" customHeight="1">
      <x:c r="A49" s="15" t="s">
        <x:v>235</x:v>
      </x:c>
      <x:c r="B49" s="16">
        <x:v>46236</x:v>
      </x:c>
      <x:c r="C49" s="16" t="s">
        <x:v>318</x:v>
      </x:c>
      <x:c r="D49" s="16" t="s">
        <x:v>127</x:v>
      </x:c>
      <x:c r="E49" s="16" t="s">
        <x:v>251</x:v>
      </x:c>
      <x:c r="F49" s="16" t="s">
        <x:v>270</x:v>
      </x:c>
      <x:c r="G49" s="16" t="s">
        <x:v>222</x:v>
      </x:c>
      <x:c r="H49" s="16" t="s">
        <x:v>180</x:v>
      </x:c>
      <x:c r="I49" s="16" t="s">
        <x:v>315</x:v>
      </x:c>
      <x:c r="J49" s="16">
        <x:v>1</x:v>
      </x:c>
      <x:c r="K49" s="16"/>
      <x:c r="L49" s="16" t="s">
        <x:v>287</x:v>
      </x:c>
      <x:c r="M49" s="16" t="s">
        <x:v>288</x:v>
      </x:c>
      <x:c r="N49" s="16" t="s">
        <x:v>289</x:v>
      </x:c>
      <x:c r="O49" s="16" t="s">
        <x:v>290</x:v>
      </x:c>
      <x:c r="P49" s="16" t="s">
        <x:v>291</x:v>
      </x:c>
      <x:c r="Q49" s="16" t="s">
        <x:v>296</x:v>
      </x:c>
      <x:c r="R49" s="17" t="s">
        <x:v>232</x:v>
      </x:c>
    </x:row>
    <x:row r="50" ht="16.049999237060547" customHeight="1">
      <x:c r="A50" s="15" t="s">
        <x:v>235</x:v>
      </x:c>
      <x:c r="B50" s="16">
        <x:v>46236</x:v>
      </x:c>
      <x:c r="C50" s="16" t="s">
        <x:v>319</x:v>
      </x:c>
      <x:c r="D50" s="16" t="s">
        <x:v>127</x:v>
      </x:c>
      <x:c r="E50" s="16" t="s">
        <x:v>252</x:v>
      </x:c>
      <x:c r="F50" s="16" t="s">
        <x:v>270</x:v>
      </x:c>
      <x:c r="G50" s="16" t="s">
        <x:v>222</x:v>
      </x:c>
      <x:c r="H50" s="16" t="s">
        <x:v>180</x:v>
      </x:c>
      <x:c r="I50" s="16"/>
      <x:c r="J50" s="16">
        <x:v>1</x:v>
      </x:c>
      <x:c r="K50" s="16"/>
      <x:c r="L50" s="16" t="s">
        <x:v>287</x:v>
      </x:c>
      <x:c r="M50" s="16" t="s">
        <x:v>288</x:v>
      </x:c>
      <x:c r="N50" s="16" t="s">
        <x:v>289</x:v>
      </x:c>
      <x:c r="O50" s="16" t="s">
        <x:v>290</x:v>
      </x:c>
      <x:c r="P50" s="16" t="s">
        <x:v>291</x:v>
      </x:c>
      <x:c r="Q50" s="16" t="s">
        <x:v>296</x:v>
      </x:c>
      <x:c r="R50" s="17" t="s">
        <x:v>232</x:v>
      </x:c>
    </x:row>
    <x:row r="51" ht="16.049999237060547" customHeight="1">
      <x:c r="A51" s="15" t="s">
        <x:v>235</x:v>
      </x:c>
      <x:c r="B51" s="16">
        <x:v>46236</x:v>
      </x:c>
      <x:c r="C51" s="16" t="s">
        <x:v>320</x:v>
      </x:c>
      <x:c r="D51" s="16" t="s">
        <x:v>127</x:v>
      </x:c>
      <x:c r="E51" s="16" t="s">
        <x:v>252</x:v>
      </x:c>
      <x:c r="F51" s="16" t="s">
        <x:v>270</x:v>
      </x:c>
      <x:c r="G51" s="16" t="s">
        <x:v>222</x:v>
      </x:c>
      <x:c r="H51" s="16" t="s">
        <x:v>219</x:v>
      </x:c>
      <x:c r="I51" s="16"/>
      <x:c r="J51" s="16">
        <x:v>1</x:v>
      </x:c>
      <x:c r="K51" s="16"/>
      <x:c r="L51" s="16" t="s">
        <x:v>287</x:v>
      </x:c>
      <x:c r="M51" s="16" t="s">
        <x:v>288</x:v>
      </x:c>
      <x:c r="N51" s="16" t="s">
        <x:v>289</x:v>
      </x:c>
      <x:c r="O51" s="16" t="s">
        <x:v>290</x:v>
      </x:c>
      <x:c r="P51" s="16" t="s">
        <x:v>291</x:v>
      </x:c>
      <x:c r="Q51" s="16" t="s">
        <x:v>292</x:v>
      </x:c>
      <x:c r="R51" s="17" t="s">
        <x:v>233</x:v>
      </x:c>
    </x:row>
    <x:row r="52" ht="16.049999237060547" customHeight="1">
      <x:c r="A52" s="15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7"/>
    </x:row>
    <x:row r="53" ht="16.049999237060547" customHeight="1">
      <x:c r="A53" s="15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7"/>
    </x:row>
    <x:row r="54" ht="16.049999237060547" customHeight="1">
      <x:c r="A54" s="15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7"/>
    </x:row>
    <x:row r="55" ht="16.049999237060547" customHeight="1">
      <x:c r="A55" s="15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7"/>
    </x:row>
    <x:row r="56" ht="16.049999237060547" customHeight="1">
      <x:c r="A56" s="15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7"/>
    </x:row>
    <x:row r="57" ht="16.049999237060547" customHeight="1">
      <x:c r="A57" s="15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7"/>
    </x:row>
    <x:row r="58" ht="16.049999237060547" customHeight="1">
      <x:c r="A58" s="15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7"/>
    </x:row>
    <x:row r="59" ht="16.049999237060547" customHeight="1">
      <x:c r="A59" s="15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7"/>
    </x:row>
    <x:row r="60" ht="16.049999237060547" customHeight="1">
      <x:c r="A60" s="15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7"/>
    </x:row>
    <x:row r="61" ht="16.049999237060547" customHeight="1">
      <x:c r="A61" s="15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7"/>
    </x:row>
    <x:row r="62" ht="16.049999237060547" customHeight="1">
      <x:c r="A62" s="15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7"/>
    </x:row>
    <x:row r="63" ht="16.049999237060547" customHeight="1">
      <x:c r="A63" s="15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7"/>
    </x:row>
    <x:row r="64" ht="16.049999237060547" customHeight="1">
      <x:c r="A64" s="15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7"/>
    </x:row>
    <x:row r="65" ht="16.049999237060547" customHeight="1">
      <x:c r="A65" s="15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7"/>
    </x:row>
    <x:row r="66" ht="16.049999237060547" customHeight="1">
      <x:c r="A66" s="15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7"/>
    </x:row>
    <x:row r="67" ht="16.049999237060547" customHeight="1">
      <x:c r="A67" s="15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7"/>
    </x:row>
    <x:row r="68" ht="16.049999237060547" customHeight="1">
      <x:c r="A68" s="15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7"/>
    </x:row>
    <x:row r="69" ht="16.049999237060547" customHeight="1">
      <x:c r="A69" s="15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7"/>
    </x:row>
    <x:row r="70" ht="16.049999237060547" customHeight="1">
      <x:c r="A70" s="15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7"/>
    </x:row>
    <x:row r="71" ht="16.049999237060547" customHeight="1">
      <x:c r="A71" s="15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7"/>
    </x:row>
    <x:row r="72" ht="16.049999237060547" customHeight="1">
      <x:c r="A72" s="15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7"/>
    </x:row>
    <x:row r="73" ht="16.049999237060547" customHeight="1">
      <x:c r="A73" s="15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7"/>
    </x:row>
    <x:row r="74" ht="16.049999237060547" customHeight="1">
      <x:c r="A74" s="15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7"/>
    </x:row>
    <x:row r="75" ht="16.049999237060547" customHeight="1">
      <x:c r="A75" s="15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7"/>
    </x:row>
    <x:row r="76" ht="16.049999237060547" customHeight="1">
      <x:c r="A76" s="15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7"/>
    </x:row>
    <x:row r="77" ht="16.049999237060547" customHeight="1">
      <x:c r="A77" s="15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7"/>
    </x:row>
    <x:row r="78" ht="16.049999237060547" customHeight="1">
      <x:c r="A78" s="15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7"/>
    </x:row>
    <x:row r="79" ht="16.049999237060547" customHeight="1">
      <x:c r="A79" s="15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7"/>
    </x:row>
    <x:row r="80" ht="16.049999237060547" customHeight="1">
      <x:c r="A80" s="15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7"/>
    </x:row>
    <x:row r="81" ht="16.049999237060547" customHeight="1">
      <x:c r="A81" s="15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7"/>
    </x:row>
    <x:row r="82" ht="16.049999237060547" customHeight="1">
      <x:c r="A82" s="15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7"/>
    </x:row>
    <x:row r="83" ht="16.049999237060547" customHeight="1">
      <x:c r="A83" s="15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7"/>
    </x:row>
    <x:row r="84" ht="16.049999237060547" customHeight="1">
      <x:c r="A84" s="15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7"/>
    </x:row>
    <x:row r="85" ht="16.049999237060547" customHeight="1">
      <x:c r="A85" s="15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7"/>
    </x:row>
    <x:row r="86" ht="16.049999237060547" customHeight="1">
      <x:c r="A86" s="15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7"/>
    </x:row>
    <x:row r="87" ht="16.049999237060547" customHeight="1">
      <x:c r="A87" s="15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7"/>
    </x:row>
    <x:row r="88" ht="16.049999237060547" customHeight="1">
      <x:c r="A88" s="15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7"/>
    </x:row>
    <x:row r="89" ht="16.049999237060547" customHeight="1">
      <x:c r="A89" s="15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7"/>
    </x:row>
    <x:row r="90" ht="16.049999237060547" customHeight="1">
      <x:c r="A90" s="15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7"/>
    </x:row>
    <x:row r="91" ht="16.049999237060547" customHeight="1">
      <x:c r="A91" s="15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7"/>
    </x:row>
    <x:row r="92" ht="16.049999237060547" customHeight="1">
      <x:c r="A92" s="15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7"/>
    </x:row>
    <x:row r="93" ht="16.049999237060547" customHeight="1">
      <x:c r="A93" s="15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7"/>
    </x:row>
    <x:row r="94" ht="16.049999237060547" customHeight="1">
      <x:c r="A94" s="15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7"/>
    </x:row>
    <x:row r="95" ht="16.049999237060547" customHeight="1">
      <x:c r="A95" s="15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7"/>
    </x:row>
    <x:row r="96" ht="16.049999237060547" customHeight="1">
      <x:c r="A96" s="15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7"/>
    </x:row>
    <x:row r="97" ht="16.049999237060547" customHeight="1">
      <x:c r="A97" s="15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7"/>
    </x:row>
    <x:row r="98" ht="16.049999237060547" customHeight="1">
      <x:c r="A98" s="15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7"/>
    </x:row>
    <x:row r="99" ht="16.049999237060547" customHeight="1">
      <x:c r="A99" s="18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20"/>
    </x:row>
  </x:sheetData>
  <x:mergeCells>
    <x:mergeCell ref="A1:R1"/>
    <x:mergeCell ref="A2:R2"/>
  </x:mergeCells>
  <x:pageMargins left="0.7" right="0.7" top="0.75" bottom="0.75" header="0.3" footer="0.3"/>
</x:worksheet>
</file>